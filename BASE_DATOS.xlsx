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TOS GENERALES" sheetId="1" state="visible" r:id="rId1"/>
    <sheet xmlns:r="http://schemas.openxmlformats.org/officeDocument/2006/relationships" name="RESUMEN_GENERAL" sheetId="2" state="visible" r:id="rId2"/>
    <sheet xmlns:r="http://schemas.openxmlformats.org/officeDocument/2006/relationships" name="FECHAS_PROCESADAS" sheetId="3" state="visible" r:id="rId3"/>
    <sheet xmlns:r="http://schemas.openxmlformats.org/officeDocument/2006/relationships" name="COPIA" sheetId="4" state="visible" r:id="rId4"/>
    <sheet xmlns:r="http://schemas.openxmlformats.org/officeDocument/2006/relationships" name="ALEJANDRO R.M" sheetId="5" state="visible" r:id="rId5"/>
    <sheet xmlns:r="http://schemas.openxmlformats.org/officeDocument/2006/relationships" name="CESAR Y.E.M" sheetId="6" state="visible" r:id="rId6"/>
    <sheet xmlns:r="http://schemas.openxmlformats.org/officeDocument/2006/relationships" name="CHRISTIAN G.G" sheetId="7" state="visible" r:id="rId7"/>
    <sheet xmlns:r="http://schemas.openxmlformats.org/officeDocument/2006/relationships" name="FÁTIMA P.Z" sheetId="8" state="visible" r:id="rId8"/>
    <sheet xmlns:r="http://schemas.openxmlformats.org/officeDocument/2006/relationships" name="FERNANDO J.R.G" sheetId="9" state="visible" r:id="rId9"/>
    <sheet xmlns:r="http://schemas.openxmlformats.org/officeDocument/2006/relationships" name="JAVIER G.S" sheetId="10" state="hidden" r:id="rId10"/>
    <sheet xmlns:r="http://schemas.openxmlformats.org/officeDocument/2006/relationships" name="KARLA Y.A.R" sheetId="11" state="visible" r:id="rId11"/>
    <sheet xmlns:r="http://schemas.openxmlformats.org/officeDocument/2006/relationships" name="KATHERINE M.M" sheetId="12" state="visible" r:id="rId12"/>
    <sheet xmlns:r="http://schemas.openxmlformats.org/officeDocument/2006/relationships" name="LUDWING P.C" sheetId="13" state="visible" r:id="rId13"/>
    <sheet xmlns:r="http://schemas.openxmlformats.org/officeDocument/2006/relationships" name="LUIS F.C.G" sheetId="14" state="visible" r:id="rId14"/>
    <sheet xmlns:r="http://schemas.openxmlformats.org/officeDocument/2006/relationships" name="MARIA N.C.M" sheetId="15" state="visible" r:id="rId15"/>
    <sheet xmlns:r="http://schemas.openxmlformats.org/officeDocument/2006/relationships" name="MISAEL R.L" sheetId="16" state="visible" r:id="rId16"/>
    <sheet xmlns:r="http://schemas.openxmlformats.org/officeDocument/2006/relationships" name="RAFAEL E.L.G" sheetId="17" state="visible" r:id="rId17"/>
    <sheet xmlns:r="http://schemas.openxmlformats.org/officeDocument/2006/relationships" name="CARLOS C.T.M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dddd&quot;, &quot;d&quot; de &quot;mmmm&quot; de &quot;yyyy"/>
    <numFmt numFmtId="165" formatCode="yyyy-mm-dd h:mm:ss"/>
    <numFmt numFmtId="166" formatCode="dddd, mmmm d, yyyy"/>
    <numFmt numFmtId="167" formatCode="dddd, mmmm dd, yyyy"/>
    <numFmt numFmtId="168" formatCode="H:mm:ss"/>
    <numFmt numFmtId="169" formatCode="dddd, mmmm d,yyyy"/>
    <numFmt numFmtId="170" formatCode="dddd mmmm d,yyyy"/>
    <numFmt numFmtId="171" formatCode="dddd mmmm,d, yyyy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</font>
    <font>
      <name val="Calibri"/>
      <b val="1"/>
      <color rgb="FF5B0F00"/>
      <sz val="18"/>
    </font>
    <font>
      <name val="Arial"/>
      <color theme="1"/>
      <sz val="10"/>
    </font>
    <font>
      <name val="Calibri"/>
      <b val="1"/>
      <color theme="1"/>
      <sz val="12"/>
    </font>
    <font>
      <name val="Roboto Mono"/>
      <b val="1"/>
      <color theme="1"/>
      <sz val="11"/>
    </font>
    <font>
      <name val="Calibri"/>
      <b val="1"/>
      <color rgb="FFFFFFFF"/>
      <sz val="20"/>
    </font>
    <font>
      <name val="Arial"/>
      <b val="1"/>
      <color rgb="FFFFFFFF"/>
      <sz val="10"/>
    </font>
    <font/>
    <font>
      <name val="Arial"/>
      <b val="1"/>
      <color theme="1"/>
      <sz val="12"/>
    </font>
    <font>
      <name val="Arial"/>
      <b val="1"/>
      <color theme="1"/>
      <sz val="11"/>
    </font>
    <font>
      <name val="Calibri"/>
      <b val="1"/>
      <color theme="1"/>
      <sz val="13"/>
    </font>
    <font>
      <name val="Calibri"/>
      <b val="1"/>
      <color theme="1"/>
      <sz val="16"/>
    </font>
    <font>
      <name val="Calibri"/>
      <color theme="1"/>
      <sz val="10"/>
    </font>
    <font>
      <name val="Calibri"/>
      <b val="1"/>
      <color theme="1"/>
      <sz val="17"/>
    </font>
    <font>
      <name val="Calibri"/>
      <b val="1"/>
      <color rgb="FFFFFFFF"/>
      <sz val="11"/>
    </font>
    <font>
      <name val="Calibri"/>
      <b val="1"/>
      <color rgb="FF000000"/>
      <sz val="13"/>
    </font>
    <font>
      <name val="Arial"/>
      <color theme="1"/>
      <sz val="11"/>
    </font>
    <font>
      <name val="Arial"/>
      <b val="1"/>
      <color rgb="FF0000FF"/>
      <sz val="11"/>
      <u val="single"/>
    </font>
    <font>
      <name val="Roboto Mono"/>
      <b val="1"/>
      <color rgb="FF274E13"/>
      <sz val="11"/>
    </font>
  </fonts>
  <fills count="15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741B47"/>
        <bgColor rgb="FF741B47"/>
      </patternFill>
    </fill>
    <fill>
      <patternFill patternType="solid">
        <fgColor rgb="FF1F4E78"/>
        <bgColor rgb="FF1F4E78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41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980000"/>
      </left>
      <top style="thick">
        <color rgb="FF980000"/>
      </top>
      <bottom style="thick">
        <color rgb="FF980000"/>
      </bottom>
    </border>
    <border>
      <right style="thick">
        <color rgb="FF980000"/>
      </right>
      <top style="thick">
        <color rgb="FF980000"/>
      </top>
      <bottom style="thick">
        <color rgb="FF980000"/>
      </bottom>
    </border>
    <border>
      <left/>
      <right style="thin">
        <color rgb="FF000000"/>
      </right>
      <bottom/>
    </border>
    <border>
      <left style="medium">
        <color rgb="FF000000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thin">
        <color rgb="FF000000"/>
      </left>
      <right/>
    </border>
    <border>
      <bottom style="thick">
        <color rgb="FF000000"/>
      </bottom>
    </border>
    <border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medium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bottom style="thick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D9D9D9"/>
      </right>
      <top style="medium">
        <color rgb="FF000000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thin">
        <color rgb="FFD9D9D9"/>
      </right>
      <bottom style="thin">
        <color rgb="FFD9D9D9"/>
      </bottom>
    </border>
    <border>
      <left style="thin">
        <color rgb="FFD9D9D9"/>
      </left>
      <top style="medium">
        <color rgb="FF000000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8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46" fontId="5" fillId="0" borderId="2" applyAlignment="1" pivotButton="0" quotePrefix="0" xfId="0">
      <alignment horizontal="center"/>
    </xf>
    <xf numFmtId="0" fontId="6" fillId="3" borderId="4" applyAlignment="1" pivotButton="0" quotePrefix="0" xfId="0">
      <alignment horizontal="center"/>
    </xf>
    <xf numFmtId="0" fontId="7" fillId="4" borderId="5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0" borderId="6" pivotButton="0" quotePrefix="0" xfId="0"/>
    <xf numFmtId="0" fontId="10" fillId="0" borderId="7" applyAlignment="1" pivotButton="0" quotePrefix="0" xfId="0">
      <alignment horizontal="center" wrapText="1"/>
    </xf>
    <xf numFmtId="0" fontId="10" fillId="6" borderId="7" applyAlignment="1" pivotButton="0" quotePrefix="0" xfId="0">
      <alignment horizontal="center" wrapText="1"/>
    </xf>
    <xf numFmtId="0" fontId="8" fillId="5" borderId="2" applyAlignment="1" pivotButton="0" quotePrefix="0" xfId="0">
      <alignment horizontal="left" vertical="center"/>
    </xf>
    <xf numFmtId="0" fontId="11" fillId="0" borderId="7" applyAlignment="1" pivotButton="0" quotePrefix="0" xfId="0">
      <alignment wrapText="1"/>
    </xf>
    <xf numFmtId="0" fontId="9" fillId="0" borderId="8" pivotButton="0" quotePrefix="0" xfId="0"/>
    <xf numFmtId="0" fontId="12" fillId="7" borderId="7" applyAlignment="1" pivotButton="0" quotePrefix="0" xfId="0">
      <alignment horizontal="center"/>
    </xf>
    <xf numFmtId="0" fontId="13" fillId="8" borderId="9" applyAlignment="1" pivotButton="0" quotePrefix="0" xfId="0">
      <alignment horizontal="center"/>
    </xf>
    <xf numFmtId="46" fontId="12" fillId="9" borderId="4" applyAlignment="1" pivotButton="0" quotePrefix="0" xfId="0">
      <alignment horizontal="center"/>
    </xf>
    <xf numFmtId="46" fontId="14" fillId="0" borderId="2" applyAlignment="1" pivotButton="0" quotePrefix="0" xfId="0">
      <alignment horizontal="center" vertical="center"/>
    </xf>
    <xf numFmtId="46" fontId="15" fillId="8" borderId="10" applyAlignment="1" pivotButton="0" quotePrefix="0" xfId="0">
      <alignment horizontal="right"/>
    </xf>
    <xf numFmtId="0" fontId="11" fillId="0" borderId="7" applyAlignment="1" pivotButton="0" quotePrefix="0" xfId="0">
      <alignment horizontal="center" wrapText="1"/>
    </xf>
    <xf numFmtId="0" fontId="10" fillId="0" borderId="4" applyAlignment="1" pivotButton="0" quotePrefix="0" xfId="0">
      <alignment horizontal="center" wrapText="1"/>
    </xf>
    <xf numFmtId="0" fontId="10" fillId="6" borderId="4" applyAlignment="1" pivotButton="0" quotePrefix="0" xfId="0">
      <alignment horizontal="center" wrapText="1"/>
    </xf>
    <xf numFmtId="0" fontId="16" fillId="5" borderId="11" applyAlignment="1" pivotButton="0" quotePrefix="0" xfId="0">
      <alignment horizontal="center" vertical="center"/>
    </xf>
    <xf numFmtId="0" fontId="11" fillId="0" borderId="4" applyAlignment="1" pivotButton="0" quotePrefix="0" xfId="0">
      <alignment wrapText="1"/>
    </xf>
    <xf numFmtId="21" fontId="14" fillId="7" borderId="1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/>
    </xf>
    <xf numFmtId="21" fontId="14" fillId="10" borderId="13" applyAlignment="1" pivotButton="0" quotePrefix="0" xfId="0">
      <alignment horizontal="center" vertical="center"/>
    </xf>
    <xf numFmtId="21" fontId="14" fillId="0" borderId="1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wrapText="1"/>
    </xf>
    <xf numFmtId="0" fontId="14" fillId="0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12" fillId="11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/>
    </xf>
    <xf numFmtId="0" fontId="17" fillId="0" borderId="16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164" fontId="18" fillId="0" borderId="18" applyAlignment="1" pivotButton="0" quotePrefix="0" xfId="0">
      <alignment horizontal="center" vertical="bottom"/>
    </xf>
    <xf numFmtId="0" fontId="14" fillId="0" borderId="19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46" fontId="14" fillId="12" borderId="2" applyAlignment="1" pivotButton="0" quotePrefix="0" xfId="0">
      <alignment horizontal="center" vertical="center"/>
    </xf>
    <xf numFmtId="21" fontId="14" fillId="7" borderId="20" applyAlignment="1" pivotButton="0" quotePrefix="0" xfId="0">
      <alignment horizontal="center" vertical="center"/>
    </xf>
    <xf numFmtId="21" fontId="14" fillId="10" borderId="21" applyAlignment="1" pivotButton="0" quotePrefix="0" xfId="0">
      <alignment horizontal="center" vertical="center"/>
    </xf>
    <xf numFmtId="21" fontId="14" fillId="0" borderId="22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165" fontId="14" fillId="10" borderId="21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0" fontId="2" fillId="7" borderId="24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164" fontId="18" fillId="13" borderId="18" applyAlignment="1" pivotButton="0" quotePrefix="0" xfId="0">
      <alignment horizontal="center" vertical="bottom"/>
    </xf>
    <xf numFmtId="166" fontId="11" fillId="0" borderId="4" applyAlignment="1" pivotButton="0" quotePrefix="0" xfId="0">
      <alignment horizontal="center" vertical="bottom"/>
    </xf>
    <xf numFmtId="164" fontId="18" fillId="13" borderId="0" applyAlignment="1" pivotButton="0" quotePrefix="0" xfId="0">
      <alignment horizontal="center" vertical="bottom"/>
    </xf>
    <xf numFmtId="167" fontId="11" fillId="0" borderId="4" applyAlignment="1" pivotButton="0" quotePrefix="0" xfId="0">
      <alignment horizontal="center" vertical="bottom"/>
    </xf>
    <xf numFmtId="166" fontId="18" fillId="13" borderId="26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wrapText="1"/>
    </xf>
    <xf numFmtId="166" fontId="18" fillId="13" borderId="27" applyAlignment="1" pivotButton="0" quotePrefix="0" xfId="0">
      <alignment horizontal="center" vertical="bottom"/>
    </xf>
    <xf numFmtId="166" fontId="18" fillId="13" borderId="28" applyAlignment="1" pivotButton="0" quotePrefix="0" xfId="0">
      <alignment horizontal="center" vertical="bottom"/>
    </xf>
    <xf numFmtId="166" fontId="10" fillId="6" borderId="4" applyAlignment="1" pivotButton="0" quotePrefix="0" xfId="0">
      <alignment horizontal="center" vertical="bottom"/>
    </xf>
    <xf numFmtId="168" fontId="18" fillId="13" borderId="28" applyAlignment="1" pivotButton="0" quotePrefix="0" xfId="0">
      <alignment horizontal="center" vertical="bottom"/>
    </xf>
    <xf numFmtId="0" fontId="2" fillId="0" borderId="29" applyAlignment="1" pivotButton="0" quotePrefix="0" xfId="0">
      <alignment horizontal="center"/>
    </xf>
    <xf numFmtId="0" fontId="2" fillId="0" borderId="27" applyAlignment="1" pivotButton="0" quotePrefix="0" xfId="0">
      <alignment horizontal="center"/>
    </xf>
    <xf numFmtId="0" fontId="1" fillId="0" borderId="4" pivotButton="0" quotePrefix="0" xfId="0"/>
    <xf numFmtId="0" fontId="10" fillId="0" borderId="4" applyAlignment="1" pivotButton="0" quotePrefix="0" xfId="0">
      <alignment horizontal="center" vertical="bottom" wrapText="1"/>
    </xf>
    <xf numFmtId="0" fontId="11" fillId="0" borderId="4" applyAlignment="1" pivotButton="0" quotePrefix="0" xfId="0">
      <alignment horizontal="center" vertical="bottom" wrapText="1"/>
    </xf>
    <xf numFmtId="168" fontId="2" fillId="12" borderId="28" applyAlignment="1" pivotButton="0" quotePrefix="0" xfId="0">
      <alignment horizontal="center"/>
    </xf>
    <xf numFmtId="46" fontId="2" fillId="0" borderId="2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166" fontId="1" fillId="0" borderId="4" applyAlignment="1" pivotButton="0" quotePrefix="0" xfId="0">
      <alignment vertical="bottom"/>
    </xf>
    <xf numFmtId="169" fontId="11" fillId="0" borderId="4" applyAlignment="1" pivotButton="0" quotePrefix="0" xfId="0">
      <alignment horizontal="center" vertical="bottom"/>
    </xf>
    <xf numFmtId="46" fontId="5" fillId="0" borderId="0" pivotButton="0" quotePrefix="0" xfId="0"/>
    <xf numFmtId="0" fontId="10" fillId="6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wrapText="1"/>
    </xf>
    <xf numFmtId="0" fontId="11" fillId="0" borderId="31" applyAlignment="1" pivotButton="0" quotePrefix="0" xfId="0">
      <alignment horizontal="center" wrapText="1"/>
    </xf>
    <xf numFmtId="0" fontId="10" fillId="6" borderId="4" applyAlignment="1" pivotButton="0" quotePrefix="0" xfId="0">
      <alignment horizontal="center" vertical="bottom"/>
    </xf>
    <xf numFmtId="0" fontId="11" fillId="0" borderId="4" applyAlignment="1" pivotButton="0" quotePrefix="0" xfId="0">
      <alignment horizontal="center" vertical="bottom"/>
    </xf>
    <xf numFmtId="170" fontId="11" fillId="0" borderId="4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wrapText="1"/>
    </xf>
    <xf numFmtId="171" fontId="11" fillId="0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center" wrapText="1"/>
    </xf>
    <xf numFmtId="46" fontId="12" fillId="7" borderId="4" applyAlignment="1" pivotButton="0" quotePrefix="0" xfId="0">
      <alignment horizontal="center"/>
    </xf>
    <xf numFmtId="0" fontId="20" fillId="14" borderId="4" applyAlignment="1" pivotButton="0" quotePrefix="0" xfId="0">
      <alignment horizontal="center"/>
    </xf>
    <xf numFmtId="46" fontId="15" fillId="8" borderId="10" applyAlignment="1" pivotButton="0" quotePrefix="0" xfId="0">
      <alignment horizontal="center"/>
    </xf>
    <xf numFmtId="168" fontId="1" fillId="7" borderId="12" applyAlignment="1" pivotButton="0" quotePrefix="0" xfId="0">
      <alignment horizontal="center" vertical="center"/>
    </xf>
    <xf numFmtId="168" fontId="1" fillId="10" borderId="13" applyAlignment="1" pivotButton="0" quotePrefix="0" xfId="0">
      <alignment horizontal="center" vertical="center"/>
    </xf>
    <xf numFmtId="168" fontId="1" fillId="0" borderId="14" applyAlignment="1" pivotButton="0" quotePrefix="0" xfId="0">
      <alignment horizontal="center" vertical="center"/>
    </xf>
    <xf numFmtId="168" fontId="1" fillId="0" borderId="19" applyAlignment="1" pivotButton="0" quotePrefix="0" xfId="0">
      <alignment horizontal="center" vertical="center"/>
    </xf>
    <xf numFmtId="168" fontId="14" fillId="7" borderId="12" applyAlignment="1" pivotButton="0" quotePrefix="0" xfId="0">
      <alignment horizontal="center" vertical="center"/>
    </xf>
    <xf numFmtId="21" fontId="1" fillId="0" borderId="12" applyAlignment="1" pivotButton="0" quotePrefix="0" xfId="0">
      <alignment horizontal="center" vertical="center"/>
    </xf>
    <xf numFmtId="168" fontId="14" fillId="10" borderId="13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168" fontId="14" fillId="0" borderId="14" applyAlignment="1" pivotButton="0" quotePrefix="0" xfId="0">
      <alignment horizontal="center" vertical="center"/>
    </xf>
    <xf numFmtId="46" fontId="1" fillId="12" borderId="33" applyAlignment="1" pivotButton="0" quotePrefix="0" xfId="0">
      <alignment horizontal="center" vertical="center"/>
    </xf>
    <xf numFmtId="168" fontId="16" fillId="5" borderId="15" applyAlignment="1" pivotButton="0" quotePrefix="0" xfId="0">
      <alignment horizontal="center" vertical="center"/>
    </xf>
    <xf numFmtId="168" fontId="1" fillId="7" borderId="20" applyAlignment="1" pivotButton="0" quotePrefix="0" xfId="0">
      <alignment horizontal="center" vertical="center"/>
    </xf>
    <xf numFmtId="168" fontId="1" fillId="10" borderId="21" applyAlignment="1" pivotButton="0" quotePrefix="0" xfId="0">
      <alignment horizontal="center" vertical="center"/>
    </xf>
    <xf numFmtId="46" fontId="17" fillId="12" borderId="2" applyAlignment="1" pivotButton="0" quotePrefix="0" xfId="0">
      <alignment horizontal="center" vertical="center"/>
    </xf>
    <xf numFmtId="168" fontId="1" fillId="0" borderId="22" applyAlignment="1" pivotButton="0" quotePrefix="0" xfId="0">
      <alignment horizontal="center" vertical="center"/>
    </xf>
    <xf numFmtId="168" fontId="1" fillId="0" borderId="23" applyAlignment="1" pivotButton="0" quotePrefix="0" xfId="0">
      <alignment horizontal="center" vertical="center"/>
    </xf>
    <xf numFmtId="21" fontId="1" fillId="0" borderId="20" applyAlignment="1" pivotButton="0" quotePrefix="0" xfId="0">
      <alignment horizontal="center" vertical="center"/>
    </xf>
    <xf numFmtId="46" fontId="1" fillId="0" borderId="18" applyAlignment="1" pivotButton="0" quotePrefix="0" xfId="0">
      <alignment horizontal="center"/>
    </xf>
    <xf numFmtId="0" fontId="1" fillId="0" borderId="20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/>
    </xf>
    <xf numFmtId="168" fontId="14" fillId="0" borderId="19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46" fontId="1" fillId="12" borderId="2" applyAlignment="1" pivotButton="0" quotePrefix="0" xfId="0">
      <alignment horizontal="center" vertical="center"/>
    </xf>
    <xf numFmtId="168" fontId="1" fillId="7" borderId="24" applyAlignment="1" pivotButton="0" quotePrefix="0" xfId="0">
      <alignment horizontal="center"/>
    </xf>
    <xf numFmtId="168" fontId="1" fillId="10" borderId="0" applyAlignment="1" pivotButton="0" quotePrefix="0" xfId="0">
      <alignment horizontal="center"/>
    </xf>
    <xf numFmtId="168" fontId="1" fillId="0" borderId="18" applyAlignment="1" pivotButton="0" quotePrefix="0" xfId="0">
      <alignment horizontal="center"/>
    </xf>
    <xf numFmtId="168" fontId="1" fillId="0" borderId="25" applyAlignment="1" pivotButton="0" quotePrefix="0" xfId="0">
      <alignment horizontal="center"/>
    </xf>
    <xf numFmtId="21" fontId="1" fillId="0" borderId="24" applyAlignment="1" pivotButton="0" quotePrefix="0" xfId="0">
      <alignment horizontal="center"/>
    </xf>
    <xf numFmtId="168" fontId="14" fillId="0" borderId="23" applyAlignment="1" pivotButton="0" quotePrefix="0" xfId="0">
      <alignment horizontal="center" vertical="center"/>
    </xf>
    <xf numFmtId="168" fontId="18" fillId="13" borderId="0" applyAlignment="1" pivotButton="0" quotePrefix="0" xfId="0">
      <alignment horizontal="center" vertical="bottom"/>
    </xf>
    <xf numFmtId="168" fontId="18" fillId="13" borderId="18" applyAlignment="1" pivotButton="0" quotePrefix="0" xfId="0">
      <alignment horizontal="center" vertical="bottom"/>
    </xf>
    <xf numFmtId="0" fontId="1" fillId="0" borderId="24" applyAlignment="1" pivotButton="0" quotePrefix="0" xfId="0">
      <alignment horizontal="center"/>
    </xf>
    <xf numFmtId="168" fontId="18" fillId="13" borderId="27" applyAlignment="1" pivotButton="0" quotePrefix="0" xfId="0">
      <alignment horizontal="center" vertical="bottom"/>
    </xf>
    <xf numFmtId="0" fontId="1" fillId="0" borderId="29" applyAlignment="1" pivotButton="0" quotePrefix="0" xfId="0">
      <alignment horizontal="center"/>
    </xf>
    <xf numFmtId="0" fontId="1" fillId="0" borderId="27" applyAlignment="1" pivotButton="0" quotePrefix="0" xfId="0">
      <alignment horizontal="center"/>
    </xf>
    <xf numFmtId="168" fontId="2" fillId="0" borderId="25" applyAlignment="1" pivotButton="0" quotePrefix="0" xfId="0">
      <alignment horizontal="center"/>
    </xf>
    <xf numFmtId="168" fontId="1" fillId="12" borderId="28" applyAlignment="1" pivotButton="0" quotePrefix="0" xfId="0">
      <alignment horizontal="center"/>
    </xf>
    <xf numFmtId="21" fontId="14" fillId="0" borderId="12" applyAlignment="1" pivotButton="0" quotePrefix="0" xfId="0">
      <alignment horizontal="center" vertical="center"/>
    </xf>
    <xf numFmtId="46" fontId="1" fillId="12" borderId="28" applyAlignment="1" pivotButton="0" quotePrefix="0" xfId="0">
      <alignment horizontal="center"/>
    </xf>
    <xf numFmtId="168" fontId="14" fillId="7" borderId="20" applyAlignment="1" pivotButton="0" quotePrefix="0" xfId="0">
      <alignment horizontal="center" vertical="center"/>
    </xf>
    <xf numFmtId="168" fontId="14" fillId="10" borderId="21" applyAlignment="1" pivotButton="0" quotePrefix="0" xfId="0">
      <alignment horizontal="center" vertical="center"/>
    </xf>
    <xf numFmtId="168" fontId="14" fillId="0" borderId="22" applyAlignment="1" pivotButton="0" quotePrefix="0" xfId="0">
      <alignment horizontal="center" vertical="center"/>
    </xf>
    <xf numFmtId="46" fontId="2" fillId="0" borderId="30" applyAlignment="1" pivotButton="0" quotePrefix="0" xfId="0">
      <alignment horizontal="center"/>
    </xf>
    <xf numFmtId="21" fontId="14" fillId="0" borderId="20" applyAlignment="1" pivotButton="0" quotePrefix="0" xfId="0">
      <alignment horizontal="center" vertical="center"/>
    </xf>
    <xf numFmtId="46" fontId="2" fillId="0" borderId="18" applyAlignment="1" pivotButton="0" quotePrefix="0" xfId="0">
      <alignment horizontal="center"/>
    </xf>
    <xf numFmtId="168" fontId="2" fillId="7" borderId="24" applyAlignment="1" pivotButton="0" quotePrefix="0" xfId="0">
      <alignment horizontal="center"/>
    </xf>
    <xf numFmtId="168" fontId="2" fillId="10" borderId="0" applyAlignment="1" pivotButton="0" quotePrefix="0" xfId="0">
      <alignment horizontal="center"/>
    </xf>
    <xf numFmtId="168" fontId="2" fillId="0" borderId="18" applyAlignment="1" pivotButton="0" quotePrefix="0" xfId="0">
      <alignment horizontal="center"/>
    </xf>
    <xf numFmtId="21" fontId="2" fillId="0" borderId="24" applyAlignment="1" pivotButton="0" quotePrefix="0" xfId="0">
      <alignment horizontal="center"/>
    </xf>
    <xf numFmtId="46" fontId="2" fillId="12" borderId="28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46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21" fontId="1" fillId="7" borderId="12" applyAlignment="1" pivotButton="0" quotePrefix="0" xfId="0">
      <alignment horizontal="center" vertical="center"/>
    </xf>
    <xf numFmtId="21" fontId="1" fillId="10" borderId="13" applyAlignment="1" pivotButton="0" quotePrefix="0" xfId="0">
      <alignment horizontal="center" vertical="center"/>
    </xf>
    <xf numFmtId="21" fontId="1" fillId="0" borderId="14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 vertical="center"/>
    </xf>
    <xf numFmtId="21" fontId="1" fillId="7" borderId="20" applyAlignment="1" pivotButton="0" quotePrefix="0" xfId="0">
      <alignment horizontal="center" vertical="center"/>
    </xf>
    <xf numFmtId="21" fontId="1" fillId="10" borderId="21" applyAlignment="1" pivotButton="0" quotePrefix="0" xfId="0">
      <alignment horizontal="center" vertical="center"/>
    </xf>
    <xf numFmtId="21" fontId="1" fillId="0" borderId="22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23" applyAlignment="1" pivotButton="0" quotePrefix="0" xfId="0">
      <alignment horizontal="center" vertical="center"/>
    </xf>
    <xf numFmtId="165" fontId="1" fillId="10" borderId="21" applyAlignment="1" pivotButton="0" quotePrefix="0" xfId="0">
      <alignment horizontal="center" vertical="center"/>
    </xf>
    <xf numFmtId="165" fontId="1" fillId="0" borderId="22" applyAlignment="1" pivotButton="0" quotePrefix="0" xfId="0">
      <alignment horizontal="center" vertical="center"/>
    </xf>
    <xf numFmtId="0" fontId="1" fillId="7" borderId="24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1" fillId="10" borderId="21" applyAlignment="1" pivotButton="0" quotePrefix="0" xfId="0">
      <alignment horizontal="center" vertical="center"/>
    </xf>
    <xf numFmtId="21" fontId="1" fillId="10" borderId="0" applyAlignment="1" pivotButton="0" quotePrefix="0" xfId="0">
      <alignment horizontal="center"/>
    </xf>
    <xf numFmtId="21" fontId="1" fillId="10" borderId="21" applyAlignment="1" pivotButton="0" quotePrefix="0" xfId="0">
      <alignment horizontal="center" vertical="center"/>
    </xf>
    <xf numFmtId="21" fontId="1" fillId="7" borderId="34" applyAlignment="1" pivotButton="0" quotePrefix="0" xfId="0">
      <alignment horizontal="center" vertical="center"/>
    </xf>
    <xf numFmtId="21" fontId="1" fillId="7" borderId="0" applyAlignment="1" pivotButton="0" quotePrefix="0" xfId="0">
      <alignment horizontal="center" vertical="center"/>
    </xf>
    <xf numFmtId="21" fontId="1" fillId="10" borderId="35" applyAlignment="1" pivotButton="0" quotePrefix="0" xfId="0">
      <alignment horizontal="center" vertical="center"/>
    </xf>
    <xf numFmtId="21" fontId="1" fillId="7" borderId="36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4" fillId="0" borderId="37" applyAlignment="1" pivotButton="0" quotePrefix="0" xfId="0">
      <alignment horizontal="center" vertical="center"/>
    </xf>
    <xf numFmtId="168" fontId="14" fillId="0" borderId="38" applyAlignment="1" pivotButton="0" quotePrefix="0" xfId="0">
      <alignment horizontal="center" vertical="center"/>
    </xf>
    <xf numFmtId="0" fontId="14" fillId="0" borderId="39" applyAlignment="1" pivotButton="0" quotePrefix="0" xfId="0">
      <alignment horizontal="center" vertical="center"/>
    </xf>
    <xf numFmtId="0" fontId="14" fillId="0" borderId="40" applyAlignment="1" pivotButton="0" quotePrefix="0" xfId="0">
      <alignment horizontal="center" vertical="center"/>
    </xf>
    <xf numFmtId="168" fontId="14" fillId="0" borderId="25" applyAlignment="1" pivotButton="0" quotePrefix="0" xfId="0">
      <alignment horizontal="center" vertical="center"/>
    </xf>
    <xf numFmtId="0" fontId="14" fillId="0" borderId="35" applyAlignment="1" pivotButton="0" quotePrefix="0" xfId="0">
      <alignment horizontal="center" vertical="center"/>
    </xf>
    <xf numFmtId="164" fontId="18" fillId="13" borderId="25" applyAlignment="1" pivotButton="0" quotePrefix="0" xfId="0">
      <alignment horizontal="center" vertical="bottom"/>
    </xf>
    <xf numFmtId="21" fontId="1" fillId="0" borderId="12" applyAlignment="1" pivotButton="0" quotePrefix="0" xfId="0">
      <alignment horizontal="center" vertical="center"/>
    </xf>
    <xf numFmtId="21" fontId="1" fillId="0" borderId="20" applyAlignment="1" pivotButton="0" quotePrefix="0" xfId="0">
      <alignment horizontal="center" vertical="center"/>
    </xf>
    <xf numFmtId="21" fontId="1" fillId="0" borderId="24" applyAlignment="1" pivotButton="0" quotePrefix="0" xfId="0">
      <alignment horizontal="center"/>
    </xf>
    <xf numFmtId="21" fontId="1" fillId="7" borderId="12" applyAlignment="1" pivotButton="0" quotePrefix="0" xfId="0">
      <alignment horizontal="center" vertical="center"/>
    </xf>
    <xf numFmtId="21" fontId="1" fillId="10" borderId="13" applyAlignment="1" pivotButton="0" quotePrefix="0" xfId="0">
      <alignment horizontal="center" vertical="center"/>
    </xf>
    <xf numFmtId="0" fontId="0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kamina.gh27outlook.com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177" min="1" max="3"/>
    <col width="23.14" customWidth="1" style="177" min="4" max="4"/>
    <col width="18.43" customWidth="1" style="177" min="5" max="5"/>
    <col width="48.43" customWidth="1" style="177" min="6" max="6"/>
    <col width="36.86" customWidth="1" style="177" min="7" max="7"/>
    <col width="28.14" customWidth="1" style="177" min="8" max="8"/>
    <col width="32.43" customWidth="1" style="177" min="9" max="9"/>
    <col width="29.57" customWidth="1" style="177" min="10" max="10"/>
    <col width="30.86" customWidth="1" style="177" min="12" max="12"/>
    <col width="39.43" customWidth="1" style="177" min="13" max="13"/>
    <col width="19.43" customWidth="1" style="177" min="14" max="14"/>
  </cols>
  <sheetData>
    <row r="1">
      <c r="A1" s="1" t="n"/>
      <c r="B1" s="1" t="n"/>
      <c r="C1" s="3" t="inlineStr">
        <is>
          <t>ESTATUS</t>
        </is>
      </c>
      <c r="D1" s="3" t="inlineStr">
        <is>
          <t>CARRERA</t>
        </is>
      </c>
      <c r="E1" s="3" t="inlineStr">
        <is>
          <t>MATRÍCULA</t>
        </is>
      </c>
      <c r="F1" s="3" t="inlineStr">
        <is>
          <t>NOMBRE</t>
        </is>
      </c>
      <c r="G1" s="3" t="inlineStr">
        <is>
          <t>HORAS CONTABILIZADAS</t>
        </is>
      </c>
      <c r="H1" s="3" t="inlineStr">
        <is>
          <t>HORAS RESTANTES</t>
        </is>
      </c>
      <c r="I1" s="3" t="inlineStr">
        <is>
          <t>FECHA INICIO OFICIAL</t>
        </is>
      </c>
      <c r="J1" s="3" t="inlineStr">
        <is>
          <t>FECHA TÉRMINO OFICIAL</t>
        </is>
      </c>
      <c r="K1" s="3" t="inlineStr">
        <is>
          <t>TRIMESTRE 
INGRESO</t>
        </is>
      </c>
      <c r="L1" s="3" t="inlineStr">
        <is>
          <t>CORREO
 INSTITUCIONAL</t>
        </is>
      </c>
      <c r="M1" s="3" t="inlineStr">
        <is>
          <t>CORREO 
PERSONAL</t>
        </is>
      </c>
      <c r="N1" s="5" t="inlineStr">
        <is>
          <t>NO.
TELEFÓNICO</t>
        </is>
      </c>
    </row>
    <row r="2">
      <c r="A2" s="1" t="n"/>
      <c r="B2" s="1" t="n"/>
      <c r="C2" s="7" t="inlineStr">
        <is>
          <t>CONCLUIDO</t>
        </is>
      </c>
      <c r="D2" s="11" t="inlineStr">
        <is>
          <t>Ing. Física</t>
        </is>
      </c>
      <c r="E2" s="12" t="n">
        <v>2173003008</v>
      </c>
      <c r="F2" s="14" t="inlineStr">
        <is>
          <t>KARLA DANNEY ÁLVAREZ HERNÁNDEZ</t>
        </is>
      </c>
      <c r="G2" s="16" t="n">
        <v>0</v>
      </c>
      <c r="H2" s="18">
        <f>RESUMEN_GENERAL!$H$2-G2</f>
        <v/>
      </c>
      <c r="I2" s="21" t="inlineStr">
        <is>
          <t>martes, abril 30, 2024</t>
        </is>
      </c>
      <c r="J2" s="21" t="inlineStr">
        <is>
          <t>viernes, noviembre 29, 2024</t>
        </is>
      </c>
      <c r="K2" s="21" t="inlineStr">
        <is>
          <t>24-I</t>
        </is>
      </c>
      <c r="L2" s="21" t="inlineStr">
        <is>
          <t>al2173003008@azc.uam.mx</t>
        </is>
      </c>
      <c r="M2" s="21" t="inlineStr">
        <is>
          <t>danneyal548@gmail.com</t>
        </is>
      </c>
      <c r="N2" s="21" t="n">
        <v>2227227875</v>
      </c>
    </row>
    <row r="3">
      <c r="A3" s="1" t="n"/>
      <c r="B3" s="1" t="n"/>
      <c r="C3" s="7" t="inlineStr">
        <is>
          <t>CONCLUIDO</t>
        </is>
      </c>
      <c r="D3" s="22" t="inlineStr">
        <is>
          <t>Ing. Física</t>
        </is>
      </c>
      <c r="E3" s="23" t="n">
        <v>2202001912</v>
      </c>
      <c r="F3" s="25" t="inlineStr">
        <is>
          <t>CRISTOPHER JAIR ZAVALETA ROQUE</t>
        </is>
      </c>
      <c r="G3" s="16" t="n">
        <v>0</v>
      </c>
      <c r="H3" s="18">
        <f>RESUMEN_GENERAL!$H$2-G3</f>
        <v/>
      </c>
      <c r="I3" s="30" t="inlineStr">
        <is>
          <t>viernes, julio 19, 2024</t>
        </is>
      </c>
      <c r="J3" s="30" t="inlineStr">
        <is>
          <t>viernes, enero 31, 2025</t>
        </is>
      </c>
      <c r="K3" s="30" t="inlineStr">
        <is>
          <t>24-P</t>
        </is>
      </c>
      <c r="L3" s="30" t="inlineStr">
        <is>
          <t>al2202001912@azc.uam.mx</t>
        </is>
      </c>
      <c r="M3" s="30" t="inlineStr">
        <is>
          <t>cristopherzavaletaroque@gmail.com</t>
        </is>
      </c>
      <c r="N3" s="30" t="n">
        <v>7351433905</v>
      </c>
    </row>
    <row r="4">
      <c r="A4" s="1" t="n"/>
      <c r="B4" s="1" t="n"/>
      <c r="C4" s="7" t="inlineStr">
        <is>
          <t>CONCLUIDO</t>
        </is>
      </c>
      <c r="D4" s="22" t="inlineStr">
        <is>
          <t>Ing. Computación</t>
        </is>
      </c>
      <c r="E4" s="23" t="n">
        <v>2182003623</v>
      </c>
      <c r="F4" s="25" t="inlineStr">
        <is>
          <t>ALBERTO DANIEL GUTIERREZ RAMOS</t>
        </is>
      </c>
      <c r="G4" s="16" t="n">
        <v>0</v>
      </c>
      <c r="H4" s="18">
        <f>RESUMEN_GENERAL!$H$2-G4</f>
        <v/>
      </c>
      <c r="I4" s="30" t="inlineStr">
        <is>
          <t>lunes, julio 22, 2024</t>
        </is>
      </c>
      <c r="J4" s="30" t="inlineStr">
        <is>
          <t>miércoles, febrero 12, 2025</t>
        </is>
      </c>
      <c r="K4" s="30" t="inlineStr">
        <is>
          <t>24-P</t>
        </is>
      </c>
      <c r="L4" s="30" t="inlineStr">
        <is>
          <t>al2182003623@azc.uam.mx</t>
        </is>
      </c>
      <c r="M4" s="30" t="inlineStr">
        <is>
          <t>adgr_92@outlook.com</t>
        </is>
      </c>
      <c r="N4" s="30" t="n">
        <v>5539879408</v>
      </c>
    </row>
    <row r="5">
      <c r="A5" s="1" t="n"/>
      <c r="B5" s="1" t="n"/>
      <c r="C5" s="7" t="inlineStr">
        <is>
          <t>CONCLUIDO</t>
        </is>
      </c>
      <c r="D5" s="22" t="inlineStr">
        <is>
          <t>Ing. Industrial</t>
        </is>
      </c>
      <c r="E5" s="23" t="n">
        <v>2203000455</v>
      </c>
      <c r="F5" s="25" t="inlineStr">
        <is>
          <t>MARIA FERNANDA RODRÍGUEZ MORALES</t>
        </is>
      </c>
      <c r="G5" s="16" t="n">
        <v>0</v>
      </c>
      <c r="H5" s="18">
        <f>RESUMEN_GENERAL!$H$2-G5</f>
        <v/>
      </c>
      <c r="I5" s="30" t="inlineStr">
        <is>
          <t>martes, julio 23, 2024</t>
        </is>
      </c>
      <c r="J5" s="30" t="inlineStr">
        <is>
          <t>jueves, febrero 13, 2025</t>
        </is>
      </c>
      <c r="K5" s="30" t="inlineStr">
        <is>
          <t>24-P</t>
        </is>
      </c>
      <c r="L5" s="30" t="inlineStr">
        <is>
          <t>al2203000455@azc.uam.mx</t>
        </is>
      </c>
      <c r="M5" s="30" t="inlineStr">
        <is>
          <t>fercha2308@hotmail.com</t>
        </is>
      </c>
      <c r="N5" s="30" t="n">
        <v>5545900509</v>
      </c>
    </row>
    <row r="6">
      <c r="A6" s="1" t="n"/>
      <c r="B6" s="1" t="n"/>
      <c r="C6" s="7" t="inlineStr">
        <is>
          <t>CONCLUIDO</t>
        </is>
      </c>
      <c r="D6" s="22" t="inlineStr">
        <is>
          <t>Ing. Industrial</t>
        </is>
      </c>
      <c r="E6" s="23" t="n">
        <v>2192001962</v>
      </c>
      <c r="F6" s="25" t="inlineStr">
        <is>
          <t>SALMA ZUGEY RAMÍREZ LÓPEZ</t>
        </is>
      </c>
      <c r="G6" s="16" t="n">
        <v>0</v>
      </c>
      <c r="H6" s="18">
        <f>RESUMEN_GENERAL!$H$2-G6</f>
        <v/>
      </c>
      <c r="I6" s="30" t="inlineStr">
        <is>
          <t>miércoles, agosto 7, 2024</t>
        </is>
      </c>
      <c r="J6" s="30" t="inlineStr">
        <is>
          <t>viernes, febrero 28, 2025</t>
        </is>
      </c>
      <c r="K6" s="30" t="inlineStr">
        <is>
          <t>24-P</t>
        </is>
      </c>
      <c r="L6" s="30" t="inlineStr">
        <is>
          <t>al2192001962@azc.uam.mx</t>
        </is>
      </c>
      <c r="M6" s="30" t="inlineStr">
        <is>
          <t>sazu.amlas@gmail.com</t>
        </is>
      </c>
      <c r="N6" s="30" t="n">
        <v>5580032677</v>
      </c>
    </row>
    <row r="7">
      <c r="A7" s="1" t="n"/>
      <c r="B7" s="1" t="n"/>
      <c r="C7" s="7" t="inlineStr">
        <is>
          <t>CONCLUIDO</t>
        </is>
      </c>
      <c r="D7" s="22" t="inlineStr">
        <is>
          <t>Ing. Física</t>
        </is>
      </c>
      <c r="E7" s="23" t="n">
        <v>2193044210</v>
      </c>
      <c r="F7" s="25" t="inlineStr">
        <is>
          <t>FRANCISCO DONALDO JOSÉ ROMERO</t>
        </is>
      </c>
      <c r="G7" s="16" t="n">
        <v>0</v>
      </c>
      <c r="H7" s="18">
        <f>RESUMEN_GENERAL!$H$2-G7</f>
        <v/>
      </c>
      <c r="I7" s="30" t="inlineStr">
        <is>
          <t>lunes, octubre 7, 2024</t>
        </is>
      </c>
      <c r="J7" s="30" t="inlineStr">
        <is>
          <t>lunes, abril 28, 2025</t>
        </is>
      </c>
      <c r="K7" s="30" t="inlineStr">
        <is>
          <t>24-P</t>
        </is>
      </c>
      <c r="L7" s="30" t="inlineStr">
        <is>
          <t>al2193044210@azc.uam.mx</t>
        </is>
      </c>
      <c r="M7" s="30" t="inlineStr">
        <is>
          <t>al2193044210@azc.uam.mx</t>
        </is>
      </c>
      <c r="N7" s="30" t="n">
        <v>9531439483</v>
      </c>
    </row>
    <row r="8">
      <c r="A8" s="1" t="n"/>
      <c r="B8" s="1" t="n"/>
      <c r="C8" s="7" t="inlineStr">
        <is>
          <t>CONCLUIDO</t>
        </is>
      </c>
      <c r="D8" s="22" t="inlineStr">
        <is>
          <t>Ing. Mecánica</t>
        </is>
      </c>
      <c r="E8" s="23" t="n">
        <v>2173074678</v>
      </c>
      <c r="F8" s="25" t="inlineStr">
        <is>
          <t>CARLOS SANTIAGO ROMO HERNANDEZ</t>
        </is>
      </c>
      <c r="G8" s="16" t="n">
        <v>0</v>
      </c>
      <c r="H8" s="18">
        <f>RESUMEN_GENERAL!$H$2-G8</f>
        <v/>
      </c>
      <c r="I8" s="30" t="inlineStr">
        <is>
          <t>lunes, octubre 28, 2024</t>
        </is>
      </c>
      <c r="J8" s="30" t="inlineStr">
        <is>
          <t>lunes, mayo 19,2025</t>
        </is>
      </c>
      <c r="K8" s="30" t="inlineStr">
        <is>
          <t>24-O</t>
        </is>
      </c>
      <c r="L8" s="30" t="inlineStr">
        <is>
          <t>al2173074678@azc.uam.mx</t>
        </is>
      </c>
      <c r="M8" s="30" t="inlineStr">
        <is>
          <t>Santiago-romo@hotmail.com</t>
        </is>
      </c>
      <c r="N8" s="30" t="n">
        <v>5577127740</v>
      </c>
    </row>
    <row r="9">
      <c r="A9" s="1" t="n"/>
      <c r="B9" s="1" t="n"/>
      <c r="C9" s="7" t="inlineStr">
        <is>
          <t>CONCLUIDO</t>
        </is>
      </c>
      <c r="D9" s="22" t="inlineStr">
        <is>
          <t>Ing. Electrónica</t>
        </is>
      </c>
      <c r="E9" s="23" t="n">
        <v>2182003972</v>
      </c>
      <c r="F9" s="25" t="inlineStr">
        <is>
          <t>FERNANDA LETICIA SANCHEZ RAMOS</t>
        </is>
      </c>
      <c r="G9" s="16" t="n">
        <v>0</v>
      </c>
      <c r="H9" s="18">
        <f>RESUMEN_GENERAL!$H$2-G9</f>
        <v/>
      </c>
      <c r="I9" s="30" t="inlineStr">
        <is>
          <t>lunes, octubre 28, 2024</t>
        </is>
      </c>
      <c r="J9" s="30" t="inlineStr">
        <is>
          <t>lunes, mayo 19,2025</t>
        </is>
      </c>
      <c r="K9" s="30" t="inlineStr">
        <is>
          <t>24-O</t>
        </is>
      </c>
      <c r="L9" s="30" t="inlineStr">
        <is>
          <t>al2182003972@azc.uam.mx</t>
        </is>
      </c>
      <c r="M9" s="30" t="inlineStr">
        <is>
          <t>let23cr@gmail.com</t>
        </is>
      </c>
      <c r="N9" s="30" t="n">
        <v>5575541011</v>
      </c>
    </row>
    <row r="10">
      <c r="A10" s="1" t="n"/>
      <c r="B10" s="1" t="n"/>
      <c r="C10" s="7" t="inlineStr">
        <is>
          <t>CONCLUIDO</t>
        </is>
      </c>
      <c r="D10" s="22" t="inlineStr">
        <is>
          <t>Ing. Electrónica</t>
        </is>
      </c>
      <c r="E10" s="23" t="n">
        <v>2203033945</v>
      </c>
      <c r="F10" s="25" t="inlineStr">
        <is>
          <t>LEVY SEBASTIAN GONZÁLEZ PERIVÁN</t>
        </is>
      </c>
      <c r="G10" s="16" t="n">
        <v>0</v>
      </c>
      <c r="H10" s="18">
        <f>RESUMEN_GENERAL!$H$2-G10</f>
        <v/>
      </c>
      <c r="I10" s="30" t="inlineStr">
        <is>
          <t>lunes, octubre 28, 2024</t>
        </is>
      </c>
      <c r="J10" s="30" t="inlineStr">
        <is>
          <t>lunes, mayo 19,2025</t>
        </is>
      </c>
      <c r="K10" s="30" t="inlineStr">
        <is>
          <t>24-O</t>
        </is>
      </c>
      <c r="L10" s="30" t="inlineStr">
        <is>
          <t>al2203033945@azc.uam.mx</t>
        </is>
      </c>
      <c r="M10" s="30" t="inlineStr">
        <is>
          <t>runing735@gmail.com</t>
        </is>
      </c>
      <c r="N10" s="30" t="n">
        <v>5573451007</v>
      </c>
    </row>
    <row r="11">
      <c r="A11" s="1" t="n"/>
      <c r="B11" s="1" t="n"/>
      <c r="C11" s="7" t="inlineStr">
        <is>
          <t>CONCLUIDO</t>
        </is>
      </c>
      <c r="D11" s="22" t="inlineStr">
        <is>
          <t>Ing. Electrónica</t>
        </is>
      </c>
      <c r="E11" s="23" t="n">
        <v>2203033945</v>
      </c>
      <c r="F11" s="25" t="inlineStr">
        <is>
          <t>JESÚS JIMENEZ PRADO</t>
        </is>
      </c>
      <c r="G11" s="16" t="n">
        <v>0</v>
      </c>
      <c r="H11" s="18">
        <f>RESUMEN_GENERAL!$H$2-G11</f>
        <v/>
      </c>
      <c r="I11" s="30" t="inlineStr">
        <is>
          <t>martes, octubre29, 2024</t>
        </is>
      </c>
      <c r="J11" s="30" t="inlineStr">
        <is>
          <t>martes, mayo 20,2025</t>
        </is>
      </c>
      <c r="K11" s="30" t="inlineStr">
        <is>
          <t>24-O</t>
        </is>
      </c>
      <c r="L11" s="30" t="inlineStr">
        <is>
          <t>al2203033945@azc.uam.mx</t>
        </is>
      </c>
      <c r="M11" s="30" t="inlineStr">
        <is>
          <t>jesusjimpra@icloud.com</t>
        </is>
      </c>
      <c r="N11" s="30" t="n">
        <v>7444630468</v>
      </c>
    </row>
    <row r="12">
      <c r="A12" s="1" t="n"/>
      <c r="B12" s="1" t="n"/>
      <c r="C12" s="7" t="inlineStr">
        <is>
          <t>CONCLUIDO</t>
        </is>
      </c>
      <c r="D12" s="22" t="inlineStr">
        <is>
          <t>Ing. Computación</t>
        </is>
      </c>
      <c r="E12" s="23" t="n">
        <v>2143002726</v>
      </c>
      <c r="F12" s="25" t="inlineStr">
        <is>
          <t>ISAAC MAURICIO FUENTES GONZÁLEZ</t>
        </is>
      </c>
      <c r="G12" s="16" t="n">
        <v>0</v>
      </c>
      <c r="H12" s="18">
        <f>RESUMEN_GENERAL!$H$2-G12</f>
        <v/>
      </c>
      <c r="I12" s="30" t="inlineStr">
        <is>
          <t>miércoles, noviembre 06, 2024</t>
        </is>
      </c>
      <c r="J12" s="30" t="inlineStr">
        <is>
          <t>martes, 27 de mayo de 2025</t>
        </is>
      </c>
      <c r="K12" s="30" t="inlineStr">
        <is>
          <t>24-O</t>
        </is>
      </c>
      <c r="L12" s="30" t="inlineStr">
        <is>
          <t>al2143002726@azc.uam.mx</t>
        </is>
      </c>
      <c r="M12" s="30" t="inlineStr">
        <is>
          <t>isaackiller1107@gmail.com</t>
        </is>
      </c>
      <c r="N12" s="30" t="n">
        <v>5539345646</v>
      </c>
    </row>
    <row r="13">
      <c r="A13" s="1" t="n"/>
      <c r="B13" s="1" t="n"/>
      <c r="C13" s="7" t="inlineStr">
        <is>
          <t>CONCLUIDO</t>
        </is>
      </c>
      <c r="D13" s="22" t="inlineStr">
        <is>
          <t>Ing. Electrónica</t>
        </is>
      </c>
      <c r="E13" s="23" t="n">
        <v>2173039268</v>
      </c>
      <c r="F13" s="25" t="inlineStr">
        <is>
          <t>REINA CHUPIN CARBAJAL</t>
        </is>
      </c>
      <c r="G13" s="16" t="n">
        <v>0</v>
      </c>
      <c r="H13" s="18">
        <f>RESUMEN_GENERAL!$H$2-G13</f>
        <v/>
      </c>
      <c r="I13" s="30" t="inlineStr">
        <is>
          <t>miércoles, noviembre 06, 2024</t>
        </is>
      </c>
      <c r="J13" s="30" t="inlineStr">
        <is>
          <t>martes, 27 de mayo de 2025</t>
        </is>
      </c>
      <c r="K13" s="30" t="inlineStr">
        <is>
          <t>24-O</t>
        </is>
      </c>
      <c r="L13" s="30" t="inlineStr">
        <is>
          <t>al2173039268@azc.uam.mx</t>
        </is>
      </c>
      <c r="M13" s="30" t="inlineStr">
        <is>
          <t>reinachc32@gmail.com</t>
        </is>
      </c>
      <c r="N13" s="30" t="n">
        <v>7441650621</v>
      </c>
    </row>
    <row r="14">
      <c r="A14" s="1" t="n"/>
      <c r="B14" s="1" t="n"/>
      <c r="C14" s="7" t="inlineStr">
        <is>
          <t>CONCLUIDO</t>
        </is>
      </c>
      <c r="D14" s="22" t="inlineStr">
        <is>
          <t>Ing. Electrónica</t>
        </is>
      </c>
      <c r="E14" s="23" t="n">
        <v>2193040721</v>
      </c>
      <c r="F14" s="25" t="inlineStr">
        <is>
          <t>JORGE GUTIERREZ ROMERO</t>
        </is>
      </c>
      <c r="G14" s="16" t="n">
        <v>0</v>
      </c>
      <c r="H14" s="18">
        <f>RESUMEN_GENERAL!$H$2-G14</f>
        <v/>
      </c>
      <c r="I14" s="30" t="inlineStr">
        <is>
          <t>miércoles, noviembre 06, 2024</t>
        </is>
      </c>
      <c r="J14" s="30" t="inlineStr">
        <is>
          <t>martes, 27 de mayo de 2025</t>
        </is>
      </c>
      <c r="K14" s="30" t="inlineStr">
        <is>
          <t>24-O</t>
        </is>
      </c>
      <c r="L14" s="30" t="inlineStr">
        <is>
          <t>al2193040721@azc.uam.mx</t>
        </is>
      </c>
      <c r="M14" s="30" t="inlineStr">
        <is>
          <t>jgr5373@gmail.com</t>
        </is>
      </c>
      <c r="N14" s="30" t="n">
        <v>5626214540</v>
      </c>
    </row>
    <row r="15">
      <c r="A15" s="1" t="n"/>
      <c r="B15" s="1" t="n"/>
      <c r="C15" s="7" t="inlineStr">
        <is>
          <t>CONCLUIDO</t>
        </is>
      </c>
      <c r="D15" s="22" t="inlineStr">
        <is>
          <t>Ing. Mecánica</t>
        </is>
      </c>
      <c r="E15" s="23" t="n">
        <v>2193040909</v>
      </c>
      <c r="F15" s="25" t="inlineStr">
        <is>
          <t>DAVID RICARDO VAZQUEZ CESPEDES</t>
        </is>
      </c>
      <c r="G15" s="16" t="n">
        <v>0</v>
      </c>
      <c r="H15" s="18">
        <f>RESUMEN_GENERAL!$H$2-G15</f>
        <v/>
      </c>
      <c r="I15" s="56" t="n">
        <v>45609</v>
      </c>
      <c r="J15" s="58" t="n">
        <v>45811</v>
      </c>
      <c r="K15" s="30" t="inlineStr">
        <is>
          <t>24-O</t>
        </is>
      </c>
      <c r="L15" s="30" t="inlineStr">
        <is>
          <t>al2193040909@azc.uam.mx</t>
        </is>
      </c>
      <c r="M15" s="30" t="inlineStr">
        <is>
          <t>dvazquezcespedes5@gmail.com</t>
        </is>
      </c>
      <c r="N15" s="30" t="n">
        <v>5586880870</v>
      </c>
    </row>
    <row r="16">
      <c r="A16" s="1" t="n"/>
      <c r="B16" s="1" t="n"/>
      <c r="C16" s="7" t="inlineStr">
        <is>
          <t>CONCLUIDO</t>
        </is>
      </c>
      <c r="D16" s="22" t="inlineStr">
        <is>
          <t>Ing. Eléctrica</t>
        </is>
      </c>
      <c r="E16" s="23" t="n">
        <v>2193003595</v>
      </c>
      <c r="F16" s="25" t="inlineStr">
        <is>
          <t>DANIEL CASARREAL RODRÍGUEZ</t>
        </is>
      </c>
      <c r="G16" s="16" t="n">
        <v>0</v>
      </c>
      <c r="H16" s="18">
        <f>RESUMEN_GENERAL!$H$2-G16</f>
        <v/>
      </c>
      <c r="I16" s="60" t="n">
        <v>45673</v>
      </c>
      <c r="J16" s="60" t="n">
        <v>45854</v>
      </c>
      <c r="K16" s="30" t="inlineStr">
        <is>
          <t>24-O</t>
        </is>
      </c>
      <c r="L16" s="30" t="inlineStr">
        <is>
          <t>al2193003595@azc.uam.mx</t>
        </is>
      </c>
      <c r="M16" s="30" t="inlineStr">
        <is>
          <t>cxdanny230@gmail.com</t>
        </is>
      </c>
      <c r="N16" s="30" t="n">
        <v>5575155348</v>
      </c>
    </row>
    <row r="17">
      <c r="A17" s="1" t="n"/>
      <c r="B17" s="1" t="n"/>
      <c r="C17" s="7" t="inlineStr">
        <is>
          <t>CONCLUIDO</t>
        </is>
      </c>
      <c r="D17" s="22" t="inlineStr">
        <is>
          <t>Ing. Computación</t>
        </is>
      </c>
      <c r="E17" s="63" t="inlineStr">
        <is>
          <t>#VALUE!</t>
        </is>
      </c>
      <c r="F17" s="25" t="inlineStr">
        <is>
          <t>URIEL ISMAEL SOLÍS SILVA</t>
        </is>
      </c>
      <c r="G17" s="16" t="n">
        <v>0</v>
      </c>
      <c r="H17" s="18">
        <f>RESUMEN_GENERAL!$H$2-G17</f>
        <v/>
      </c>
      <c r="I17" s="56" t="n">
        <v>45684</v>
      </c>
      <c r="J17" s="56" t="n">
        <v>45891</v>
      </c>
      <c r="K17" s="30" t="inlineStr">
        <is>
          <t>25-I</t>
        </is>
      </c>
      <c r="L17" s="30" t="inlineStr">
        <is>
          <t>al2163034037@azc.uam.mx</t>
        </is>
      </c>
      <c r="M17" s="67" t="n"/>
      <c r="N17" s="30" t="n">
        <v>5619313139</v>
      </c>
    </row>
    <row r="18">
      <c r="A18" s="1" t="n"/>
      <c r="B18" s="1" t="n"/>
      <c r="C18" s="7" t="inlineStr">
        <is>
          <t>CONCLUIDO</t>
        </is>
      </c>
      <c r="D18" s="22" t="inlineStr">
        <is>
          <t>Ing. Mecánica</t>
        </is>
      </c>
      <c r="E18" s="63" t="inlineStr">
        <is>
          <t>#VALUE!</t>
        </is>
      </c>
      <c r="F18" s="25" t="inlineStr">
        <is>
          <t xml:space="preserve">JESSICA HERNANDEZ SAAB                                          </t>
        </is>
      </c>
      <c r="G18" s="16" t="n">
        <v>0</v>
      </c>
      <c r="H18" s="18">
        <f>RESUMEN_GENERAL!$H$2-G18</f>
        <v/>
      </c>
      <c r="I18" s="56" t="n">
        <v>45742</v>
      </c>
      <c r="J18" s="56" t="n">
        <v>45954</v>
      </c>
      <c r="K18" s="30" t="inlineStr">
        <is>
          <t>25-I</t>
        </is>
      </c>
      <c r="L18" s="30" t="inlineStr">
        <is>
          <t>al2173008941@azc.uam.mx</t>
        </is>
      </c>
      <c r="M18" s="67" t="n"/>
      <c r="N18" s="30" t="n">
        <v>5562051863</v>
      </c>
    </row>
    <row r="19">
      <c r="A19" s="1" t="n"/>
      <c r="B19" s="1" t="n"/>
      <c r="C19" s="7" t="inlineStr">
        <is>
          <t>CONCLUIDO</t>
        </is>
      </c>
      <c r="D19" s="68" t="inlineStr">
        <is>
          <t>Ing. Física</t>
        </is>
      </c>
      <c r="E19" s="63" t="inlineStr">
        <is>
          <t>#VALUE!</t>
        </is>
      </c>
      <c r="F19" s="25" t="inlineStr">
        <is>
          <t xml:space="preserve">SERGIO EMILIANO BALTAZAR GARCELA                                          </t>
        </is>
      </c>
      <c r="G19" s="16" t="n">
        <v>0</v>
      </c>
      <c r="H19" s="18">
        <f>RESUMEN_GENERAL!$H$2-G19</f>
        <v/>
      </c>
      <c r="I19" s="56" t="n">
        <v>45742</v>
      </c>
      <c r="J19" s="56" t="n">
        <v>45954</v>
      </c>
      <c r="K19" s="69" t="inlineStr">
        <is>
          <t>25-I</t>
        </is>
      </c>
      <c r="L19" s="69" t="inlineStr">
        <is>
          <t>al2152000365@azc.uam.mx</t>
        </is>
      </c>
      <c r="M19" s="67" t="n"/>
      <c r="N19" s="30" t="n">
        <v>5545500269</v>
      </c>
    </row>
    <row r="20">
      <c r="A20" s="1" t="n"/>
      <c r="B20" s="1" t="n"/>
      <c r="C20" s="7" t="inlineStr">
        <is>
          <t>CONCLUIDO</t>
        </is>
      </c>
      <c r="D20" s="22" t="inlineStr">
        <is>
          <t>Ing. Industrial</t>
        </is>
      </c>
      <c r="E20" s="63" t="inlineStr">
        <is>
          <t>#VALUE!</t>
        </is>
      </c>
      <c r="F20" s="25" t="inlineStr">
        <is>
          <t>ÁNGEL NOGUEZ MENDIZABAL</t>
        </is>
      </c>
      <c r="G20" s="16" t="n">
        <v>0</v>
      </c>
      <c r="H20" s="18">
        <f>RESUMEN_GENERAL!$H$2-G20</f>
        <v/>
      </c>
      <c r="I20" s="56" t="n">
        <v>45754</v>
      </c>
      <c r="J20" s="56" t="n">
        <v>45961</v>
      </c>
      <c r="K20" s="30" t="inlineStr">
        <is>
          <t>25-I</t>
        </is>
      </c>
      <c r="L20" s="30" t="inlineStr">
        <is>
          <t>al2183001472@azc.uam.mx</t>
        </is>
      </c>
      <c r="M20" s="30" t="inlineStr">
        <is>
          <t>eldrnoguez@gmail.com</t>
        </is>
      </c>
      <c r="N20" s="30" t="n">
        <v>5583723328</v>
      </c>
    </row>
    <row r="21" ht="15.75" customHeight="1" s="177">
      <c r="A21" s="1" t="n"/>
      <c r="B21" s="1" t="n"/>
      <c r="C21" s="7" t="inlineStr">
        <is>
          <t>CONCLUIDO</t>
        </is>
      </c>
      <c r="D21" s="22" t="inlineStr">
        <is>
          <t>Ing. Mecánica</t>
        </is>
      </c>
      <c r="E21" s="23" t="n">
        <v>2182005967</v>
      </c>
      <c r="F21" s="25" t="inlineStr">
        <is>
          <t>MARCOS ÁLVAREZ VIDAL</t>
        </is>
      </c>
      <c r="G21" s="16" t="n">
        <v>0</v>
      </c>
      <c r="H21" s="18">
        <f>RESUMEN_GENERAL!$H$2-G21</f>
        <v/>
      </c>
      <c r="I21" s="56" t="n">
        <v>45768</v>
      </c>
      <c r="J21" s="73" t="n"/>
      <c r="K21" s="30" t="inlineStr">
        <is>
          <t>25-I</t>
        </is>
      </c>
      <c r="L21" s="30" t="inlineStr">
        <is>
          <t>al2182005967@azc.uam.mx</t>
        </is>
      </c>
      <c r="M21" s="67" t="n"/>
      <c r="N21" s="67" t="n"/>
    </row>
    <row r="22" ht="15.75" customHeight="1" s="177">
      <c r="A22" s="1" t="n"/>
      <c r="B22" s="1" t="n"/>
      <c r="C22" s="7" t="inlineStr">
        <is>
          <t>CONCLUIDO</t>
        </is>
      </c>
      <c r="D22" s="22" t="inlineStr">
        <is>
          <t>Ing. Electrónica</t>
        </is>
      </c>
      <c r="E22" s="23" t="n">
        <v>2173076707</v>
      </c>
      <c r="F22" s="25" t="inlineStr">
        <is>
          <t>JOSÉ ARMANDO VALENCIA GONZÁLEZ</t>
        </is>
      </c>
      <c r="G22" s="16" t="n">
        <v>0</v>
      </c>
      <c r="H22" s="18">
        <f>RESUMEN_GENERAL!$H$2-G22</f>
        <v/>
      </c>
      <c r="I22" s="56" t="n">
        <v>45810</v>
      </c>
      <c r="J22" s="74" t="n">
        <v>46038</v>
      </c>
      <c r="K22" s="69" t="inlineStr">
        <is>
          <t>25-I</t>
        </is>
      </c>
      <c r="L22" s="69" t="inlineStr">
        <is>
          <t>al2173076707@azc.uam.mx</t>
        </is>
      </c>
      <c r="M22" s="67" t="n"/>
      <c r="N22" s="67" t="n"/>
    </row>
    <row r="23" ht="15.75" customHeight="1" s="177">
      <c r="A23" s="1" t="n"/>
      <c r="B23" s="1" t="n"/>
      <c r="C23" s="7" t="inlineStr">
        <is>
          <t>CONCLUIDO</t>
        </is>
      </c>
      <c r="D23" s="22" t="inlineStr">
        <is>
          <t>Ing. Electrónica</t>
        </is>
      </c>
      <c r="E23" s="23" t="n">
        <v>2212004434</v>
      </c>
      <c r="F23" s="25" t="inlineStr">
        <is>
          <t>ESAU HEJECATL JUÁREZ AGUILAR</t>
        </is>
      </c>
      <c r="G23" s="16" t="n">
        <v>0</v>
      </c>
      <c r="H23" s="18">
        <f>RESUMEN_GENERAL!$H$2-G23</f>
        <v/>
      </c>
      <c r="I23" s="56" t="n">
        <v>45810</v>
      </c>
      <c r="J23" s="74" t="n">
        <v>46038</v>
      </c>
      <c r="K23" s="30" t="inlineStr">
        <is>
          <t>25-I</t>
        </is>
      </c>
      <c r="L23" s="30" t="inlineStr">
        <is>
          <t>al2212001880@azc.uam.mx</t>
        </is>
      </c>
      <c r="M23" s="30" t="inlineStr">
        <is>
          <t>esaujuares@gmail.com</t>
        </is>
      </c>
      <c r="N23" s="30" t="n">
        <v>5530748953</v>
      </c>
    </row>
    <row r="24" ht="15.75" customHeight="1" s="177">
      <c r="A24" s="1" t="n"/>
      <c r="B24" s="1" t="n"/>
      <c r="C24" s="7" t="inlineStr">
        <is>
          <t>CONCLUIDO</t>
        </is>
      </c>
      <c r="D24" s="22" t="inlineStr">
        <is>
          <t>Ing. Electrónica</t>
        </is>
      </c>
      <c r="E24" s="23" t="n">
        <v>2182002288</v>
      </c>
      <c r="F24" s="25" t="inlineStr">
        <is>
          <t>EDUARDO CORTEZ MONTAÑO</t>
        </is>
      </c>
      <c r="G24" s="16" t="n">
        <v>0</v>
      </c>
      <c r="H24" s="18">
        <f>RESUMEN_GENERAL!$H$2-G24</f>
        <v/>
      </c>
      <c r="I24" s="56" t="n">
        <v>45806</v>
      </c>
      <c r="J24" s="74" t="n">
        <v>46020</v>
      </c>
      <c r="K24" s="30" t="inlineStr">
        <is>
          <t>25-I</t>
        </is>
      </c>
      <c r="L24" s="30" t="inlineStr">
        <is>
          <t>al2182002288@azc.uam.mx</t>
        </is>
      </c>
      <c r="M24" s="67" t="n"/>
      <c r="N24" s="67" t="n"/>
    </row>
    <row r="25" ht="15.75" customHeight="1" s="177">
      <c r="A25" s="1" t="n"/>
      <c r="B25" s="1" t="n"/>
      <c r="C25" s="7" t="inlineStr">
        <is>
          <t>CONCLUIDO</t>
        </is>
      </c>
      <c r="D25" s="22" t="inlineStr">
        <is>
          <t>Ing. Electrónica</t>
        </is>
      </c>
      <c r="E25" s="23" t="n">
        <v>2192007624</v>
      </c>
      <c r="F25" s="25" t="inlineStr">
        <is>
          <t>MANUEL CRUZ GUADARRAMA</t>
        </is>
      </c>
      <c r="G25" s="16" t="n">
        <v>0</v>
      </c>
      <c r="H25" s="18">
        <f>RESUMEN_GENERAL!$H$2-G25</f>
        <v/>
      </c>
      <c r="I25" s="56" t="n">
        <v>45799</v>
      </c>
      <c r="J25" s="74" t="n">
        <v>46013</v>
      </c>
      <c r="K25" s="69" t="inlineStr">
        <is>
          <t>25-I</t>
        </is>
      </c>
      <c r="L25" s="69" t="inlineStr">
        <is>
          <t>al2192007624@azc.uam.mx</t>
        </is>
      </c>
      <c r="M25" s="67" t="n"/>
      <c r="N25" s="67" t="n"/>
    </row>
    <row r="26" ht="15.75" customHeight="1" s="177">
      <c r="A26" s="1" t="n"/>
      <c r="B26" s="1" t="n"/>
      <c r="C26" s="7" t="inlineStr">
        <is>
          <t>CONCLUIDO</t>
        </is>
      </c>
      <c r="D26" s="22" t="inlineStr">
        <is>
          <t>Ing. Electrónica</t>
        </is>
      </c>
      <c r="E26" s="63" t="inlineStr">
        <is>
          <t>#VALUE!</t>
        </is>
      </c>
      <c r="F26" s="25" t="inlineStr">
        <is>
          <t>ARMANDO PÉREZ GARCÍA</t>
        </is>
      </c>
      <c r="G26" s="16" t="n">
        <v>0</v>
      </c>
      <c r="H26" s="18">
        <f>RESUMEN_GENERAL!$H$2-G26</f>
        <v/>
      </c>
      <c r="I26" s="56" t="n">
        <v>45817</v>
      </c>
      <c r="J26" s="56" t="n">
        <v>46052</v>
      </c>
      <c r="K26" s="30" t="inlineStr">
        <is>
          <t>25-I</t>
        </is>
      </c>
      <c r="L26" s="30" t="inlineStr">
        <is>
          <t>al2212001880@azc.uam.mx</t>
        </is>
      </c>
      <c r="M26" s="67" t="n"/>
      <c r="N26" s="67" t="n"/>
    </row>
    <row r="27" ht="15.75" customHeight="1" s="177">
      <c r="A27" s="1" t="n"/>
      <c r="B27" s="1" t="n"/>
      <c r="C27" s="7" t="inlineStr">
        <is>
          <t>CONCLUIDO</t>
        </is>
      </c>
      <c r="D27" s="22" t="inlineStr">
        <is>
          <t>Ing. Industrial</t>
        </is>
      </c>
      <c r="E27" s="63" t="inlineStr">
        <is>
          <t>#VALUE!</t>
        </is>
      </c>
      <c r="F27" s="25" t="inlineStr">
        <is>
          <t>ALEXIS ARIEL HERNÁNDEZ SALGADO</t>
        </is>
      </c>
      <c r="G27" s="16" t="n">
        <v>0</v>
      </c>
      <c r="H27" s="18">
        <f>RESUMEN_GENERAL!$H$2-G27</f>
        <v/>
      </c>
      <c r="I27" s="56" t="n">
        <v>45866</v>
      </c>
      <c r="J27" s="56" t="n">
        <v>45729</v>
      </c>
      <c r="K27" s="30" t="inlineStr">
        <is>
          <t>25-P</t>
        </is>
      </c>
      <c r="L27" s="30" t="inlineStr">
        <is>
          <t>al2182002948@azc.uam.mx</t>
        </is>
      </c>
      <c r="M27" s="30" t="inlineStr">
        <is>
          <t>hernandezsalgadoalexis@gmail.com</t>
        </is>
      </c>
      <c r="N27" s="30" t="n">
        <v>5541454262</v>
      </c>
    </row>
    <row r="28" ht="15.75" customHeight="1" s="177">
      <c r="A28" s="1" t="n"/>
      <c r="B28" s="1" t="n"/>
      <c r="C28" s="7" t="inlineStr">
        <is>
          <t>CONCLUIDO</t>
        </is>
      </c>
      <c r="D28" s="22" t="inlineStr">
        <is>
          <t>Ing. Computación</t>
        </is>
      </c>
      <c r="E28" s="63" t="inlineStr">
        <is>
          <t>#VALUE!</t>
        </is>
      </c>
      <c r="F28" s="25" t="inlineStr">
        <is>
          <t>RONALDO JAVIER CRUZ ARREOLA</t>
        </is>
      </c>
      <c r="G28" s="16" t="n">
        <v>0</v>
      </c>
      <c r="H28" s="18">
        <f>RESUMEN_GENERAL!$H$2-G28</f>
        <v/>
      </c>
      <c r="I28" s="56" t="n">
        <v>45943</v>
      </c>
      <c r="J28" s="56" t="n">
        <v>46150</v>
      </c>
      <c r="K28" s="30" t="inlineStr">
        <is>
          <t>25-O</t>
        </is>
      </c>
      <c r="L28" s="30" t="inlineStr">
        <is>
          <t>al2222004722@azc.uam.mx</t>
        </is>
      </c>
      <c r="M28" s="30" t="inlineStr">
        <is>
          <t>ronaldojca2901@gmail.com</t>
        </is>
      </c>
      <c r="N28" s="30" t="n">
        <v>5548863565</v>
      </c>
    </row>
    <row r="29" ht="15.75" customHeight="1" s="177">
      <c r="A29" s="1" t="n"/>
      <c r="B29" s="1" t="n"/>
      <c r="C29" s="7" t="inlineStr">
        <is>
          <t>CONCLUIDO</t>
        </is>
      </c>
      <c r="D29" s="22" t="inlineStr">
        <is>
          <t>Ing. Electrónica</t>
        </is>
      </c>
      <c r="E29" s="63" t="inlineStr">
        <is>
          <t>#VALUE!</t>
        </is>
      </c>
      <c r="F29" s="25" t="inlineStr">
        <is>
          <t>EDUARDO LUNA REYES</t>
        </is>
      </c>
      <c r="G29" s="16" t="n">
        <v>0</v>
      </c>
      <c r="H29" s="18">
        <f>RESUMEN_GENERAL!$H$2-G29</f>
        <v/>
      </c>
      <c r="I29" s="56" t="n">
        <v>45943</v>
      </c>
      <c r="J29" s="56" t="n">
        <v>46150</v>
      </c>
      <c r="K29" s="30" t="inlineStr">
        <is>
          <t>25-O</t>
        </is>
      </c>
      <c r="L29" s="30" t="inlineStr">
        <is>
          <t>al2142000040@azc.uam.mx</t>
        </is>
      </c>
      <c r="M29" s="30" t="inlineStr">
        <is>
          <t>eduardolunareyes1@gmail.com</t>
        </is>
      </c>
      <c r="N29" s="30" t="n">
        <v>5572162818</v>
      </c>
    </row>
    <row r="30" ht="15.75" customHeight="1" s="177">
      <c r="A30" s="1" t="n"/>
      <c r="B30" s="1" t="n"/>
      <c r="C30" s="7" t="inlineStr">
        <is>
          <t>CONCLUIDO</t>
        </is>
      </c>
      <c r="D30" s="22" t="inlineStr">
        <is>
          <t>Ing. Electrónica</t>
        </is>
      </c>
      <c r="E30" s="76" t="n">
        <v>2213032521</v>
      </c>
      <c r="F30" s="25" t="inlineStr">
        <is>
          <t>ÁNGEL  GAEL  ALMONACID MENDOZA</t>
        </is>
      </c>
      <c r="G30" s="16" t="n">
        <v>0</v>
      </c>
      <c r="H30" s="18">
        <f>RESUMEN_GENERAL!$H$2-G30</f>
        <v/>
      </c>
      <c r="I30" s="77" t="n">
        <v>45943</v>
      </c>
      <c r="J30" s="56" t="n">
        <v>46150</v>
      </c>
      <c r="K30" s="30" t="inlineStr">
        <is>
          <t>25-O</t>
        </is>
      </c>
      <c r="L30" s="78" t="inlineStr">
        <is>
          <t>al2213032521@azc.uam.mx</t>
        </is>
      </c>
      <c r="M30" s="1" t="n"/>
      <c r="N30" s="79" t="n">
        <v>5533053156</v>
      </c>
    </row>
    <row r="31" ht="15.75" customHeight="1" s="177">
      <c r="A31" s="1" t="n"/>
      <c r="B31" s="1" t="n"/>
      <c r="C31" s="7" t="inlineStr">
        <is>
          <t>CONCLUIDO</t>
        </is>
      </c>
      <c r="D31" s="22" t="inlineStr">
        <is>
          <t>ing. Electrónica</t>
        </is>
      </c>
      <c r="E31" s="80" t="n">
        <v>2193004190</v>
      </c>
      <c r="F31" s="25" t="inlineStr">
        <is>
          <t>RAFAEL PIÑA CALIXTO</t>
        </is>
      </c>
      <c r="G31" s="16" t="n">
        <v>0</v>
      </c>
      <c r="H31" s="18">
        <f>RESUMEN_GENERAL!$H$2-G31</f>
        <v/>
      </c>
      <c r="I31" s="56" t="n">
        <v>45978</v>
      </c>
      <c r="J31" s="56" t="n">
        <v>46178</v>
      </c>
      <c r="K31" s="30" t="inlineStr">
        <is>
          <t>25-O</t>
        </is>
      </c>
      <c r="L31" s="30" t="inlineStr">
        <is>
          <t>al2193004190@azc.uam.mx</t>
        </is>
      </c>
      <c r="M31" s="30" t="inlineStr">
        <is>
          <t>rafp.c2001@gmail.com</t>
        </is>
      </c>
      <c r="N31" s="30" t="n">
        <v>5552152907</v>
      </c>
    </row>
    <row r="32" ht="15.75" customHeight="1" s="177">
      <c r="A32" s="1" t="n"/>
      <c r="B32" s="1" t="n"/>
      <c r="C32" s="7" t="inlineStr">
        <is>
          <t>CONCLUIDO</t>
        </is>
      </c>
      <c r="D32" s="22" t="inlineStr">
        <is>
          <t>ing. Electrónica</t>
        </is>
      </c>
      <c r="E32" s="80" t="n">
        <v>2173076565</v>
      </c>
      <c r="F32" s="25" t="inlineStr">
        <is>
          <t>CINDY MADIÁN MALDONADO ROSAS</t>
        </is>
      </c>
      <c r="G32" s="16" t="n">
        <v>0</v>
      </c>
      <c r="H32" s="18">
        <f>RESUMEN_GENERAL!$H$2-G32</f>
        <v/>
      </c>
      <c r="I32" s="56" t="n">
        <v>45964</v>
      </c>
      <c r="J32" s="56" t="n">
        <v>46150</v>
      </c>
      <c r="K32" s="30" t="inlineStr">
        <is>
          <t>25-O</t>
        </is>
      </c>
      <c r="L32" s="67" t="n"/>
      <c r="M32" s="67" t="n"/>
      <c r="N32" s="67" t="n"/>
    </row>
    <row r="33" ht="15.75" customHeight="1" s="177">
      <c r="A33" s="1" t="n"/>
      <c r="B33" s="1" t="n"/>
      <c r="C33" s="7" t="inlineStr">
        <is>
          <t>CONCLUIDO</t>
        </is>
      </c>
      <c r="D33" s="22" t="inlineStr">
        <is>
          <t>ing. Electrónica</t>
        </is>
      </c>
      <c r="E33" s="80" t="n">
        <v>2192007393</v>
      </c>
      <c r="F33" s="25" t="inlineStr">
        <is>
          <t>JENNIFER RUBÍ MORALEZ VERA</t>
        </is>
      </c>
      <c r="G33" s="16" t="n">
        <v>0</v>
      </c>
      <c r="H33" s="18">
        <f>RESUMEN_GENERAL!$H$2-G33</f>
        <v/>
      </c>
      <c r="I33" s="81" t="inlineStr">
        <is>
          <t>lunes, novembre 10, 2025</t>
        </is>
      </c>
      <c r="J33" s="56" t="inlineStr">
        <is>
          <t>miercoles, mayo 13, 2025</t>
        </is>
      </c>
      <c r="K33" s="30" t="inlineStr">
        <is>
          <t>25-O</t>
        </is>
      </c>
      <c r="L33" s="67" t="n"/>
      <c r="M33" s="67" t="n"/>
      <c r="N33" s="67" t="n"/>
    </row>
    <row r="34" ht="15.75" customHeight="1" s="177">
      <c r="A34" s="1" t="n"/>
      <c r="B34" s="1" t="n"/>
      <c r="C34" s="7" t="inlineStr">
        <is>
          <t>CONCLUIDO</t>
        </is>
      </c>
      <c r="D34" s="22" t="inlineStr">
        <is>
          <t>ing. Electrónica</t>
        </is>
      </c>
      <c r="E34" s="80" t="n">
        <v>2203000348</v>
      </c>
      <c r="F34" s="25" t="inlineStr">
        <is>
          <t>DAYANA SOLORZA NOLASCO</t>
        </is>
      </c>
      <c r="G34" s="16" t="n">
        <v>0</v>
      </c>
      <c r="H34" s="18">
        <f>RESUMEN_GENERAL!$H$2-G34</f>
        <v/>
      </c>
      <c r="I34" s="82" t="n">
        <v>45999</v>
      </c>
      <c r="J34" s="56" t="n">
        <v>46188</v>
      </c>
      <c r="K34" s="30" t="inlineStr">
        <is>
          <t>25-O</t>
        </is>
      </c>
      <c r="L34" s="78" t="inlineStr">
        <is>
          <t>al2203000348@azc.uam.mx</t>
        </is>
      </c>
      <c r="M34" s="67" t="n"/>
      <c r="N34" s="67" t="n"/>
    </row>
    <row r="35" ht="15.75" customHeight="1" s="177">
      <c r="A35" s="1" t="n"/>
      <c r="B35" s="1" t="n"/>
      <c r="C35" s="7" t="inlineStr">
        <is>
          <t>CONCLUIDO</t>
        </is>
      </c>
      <c r="D35" s="83" t="inlineStr">
        <is>
          <t>Ing. Industrial</t>
        </is>
      </c>
      <c r="E35" s="80" t="n">
        <v>2212006803</v>
      </c>
      <c r="F35" s="25" t="inlineStr">
        <is>
          <t>ARTURO ORTEGA PÉREZ</t>
        </is>
      </c>
      <c r="G35" s="16" t="n">
        <v>0</v>
      </c>
      <c r="H35" s="18">
        <f>RESUMEN_GENERAL!$H$2-G35</f>
        <v/>
      </c>
      <c r="I35" s="84" t="n">
        <v>46000</v>
      </c>
      <c r="J35" s="56" t="n">
        <v>46174</v>
      </c>
      <c r="K35" s="30" t="inlineStr">
        <is>
          <t>25-O</t>
        </is>
      </c>
      <c r="L35" s="30" t="inlineStr">
        <is>
          <t>al2212006803@azc.uam.mx</t>
        </is>
      </c>
      <c r="M35" s="67" t="n"/>
      <c r="N35" s="30" t="n">
        <v>5559457627</v>
      </c>
    </row>
    <row r="36" ht="15.75" customHeight="1" s="177">
      <c r="A36" s="1" t="n"/>
      <c r="B36" s="1" t="n"/>
      <c r="C36" s="7" t="inlineStr">
        <is>
          <t>CONCLUIDO</t>
        </is>
      </c>
      <c r="D36" s="83" t="inlineStr">
        <is>
          <t>Ing. Eléctrica</t>
        </is>
      </c>
      <c r="E36" s="80" t="n">
        <v>2123031703</v>
      </c>
      <c r="F36" s="25" t="inlineStr">
        <is>
          <t>HILARIO MARTIN CRUZ CRUZ</t>
        </is>
      </c>
      <c r="G36" s="16" t="n">
        <v>0</v>
      </c>
      <c r="H36" s="18">
        <f>RESUMEN_GENERAL!$H$2-G36</f>
        <v/>
      </c>
      <c r="I36" s="84" t="n">
        <v>46003</v>
      </c>
      <c r="J36" s="73" t="n"/>
      <c r="K36" s="30" t="inlineStr">
        <is>
          <t>25-O</t>
        </is>
      </c>
      <c r="L36" s="67" t="n"/>
      <c r="M36" s="67" t="n"/>
      <c r="N36" s="67" t="n"/>
    </row>
    <row r="37" ht="15.75" customHeight="1" s="177">
      <c r="A37" s="1" t="n"/>
      <c r="B37" s="1" t="n"/>
      <c r="C37" s="7" t="inlineStr">
        <is>
          <t>CONCLUIDO</t>
        </is>
      </c>
      <c r="D37" s="22" t="inlineStr">
        <is>
          <t>ing. Electrónica</t>
        </is>
      </c>
      <c r="E37" s="80" t="n">
        <v>2183042213</v>
      </c>
      <c r="F37" s="25" t="inlineStr">
        <is>
          <t>FERNANDO GUTIÉRREZ HERRERA</t>
        </is>
      </c>
      <c r="G37" s="16" t="n">
        <v>0</v>
      </c>
      <c r="H37" s="18">
        <f>RESUMEN_GENERAL!$H$2-G37</f>
        <v/>
      </c>
      <c r="I37" s="84" t="n">
        <v>46048</v>
      </c>
      <c r="J37" s="56" t="n">
        <v>46227</v>
      </c>
      <c r="K37" s="30" t="inlineStr">
        <is>
          <t>26-I</t>
        </is>
      </c>
      <c r="L37" s="30" t="inlineStr">
        <is>
          <t>al2183042213@azc.uam.mx</t>
        </is>
      </c>
      <c r="M37" s="85" t="inlineStr">
        <is>
          <t>kamina.gh27@outlook.com</t>
        </is>
      </c>
      <c r="N37" s="30" t="n">
        <v>5587734257</v>
      </c>
    </row>
    <row r="38" ht="15.75" customHeight="1" s="177">
      <c r="A38" s="1" t="n"/>
      <c r="B38" s="1" t="n"/>
      <c r="C38" s="7" t="inlineStr">
        <is>
          <t>CONCLUIDO</t>
        </is>
      </c>
      <c r="D38" s="83" t="inlineStr">
        <is>
          <t>Ing. Industrial</t>
        </is>
      </c>
      <c r="E38" s="80" t="n">
        <v>2213032683</v>
      </c>
      <c r="F38" s="25" t="inlineStr">
        <is>
          <t>PERCY OSIEL CHÁVEZ GONZÁLEZ</t>
        </is>
      </c>
      <c r="G38" s="86" t="n">
        <v>20</v>
      </c>
      <c r="H38" s="18">
        <f>RESUMEN_GENERAL!$H$2-G38</f>
        <v/>
      </c>
      <c r="I38" s="84" t="n">
        <v>46062</v>
      </c>
      <c r="J38" s="56" t="n">
        <v>46241</v>
      </c>
      <c r="K38" s="30" t="inlineStr">
        <is>
          <t>26-I</t>
        </is>
      </c>
      <c r="L38" s="30" t="inlineStr">
        <is>
          <t>al2213032683@gmail.com</t>
        </is>
      </c>
      <c r="M38" s="30" t="inlineStr">
        <is>
          <t>percygonzalez999@gmail.com</t>
        </is>
      </c>
      <c r="N38" s="30" t="n">
        <v>5524639048</v>
      </c>
    </row>
    <row r="39" ht="15.75" customHeight="1" s="177">
      <c r="A39" s="1" t="n"/>
      <c r="B39" s="1" t="n"/>
      <c r="C39" s="7" t="inlineStr">
        <is>
          <t>CONCLUIDO</t>
        </is>
      </c>
      <c r="D39" s="22" t="inlineStr">
        <is>
          <t>Ing. Industrial</t>
        </is>
      </c>
      <c r="E39" s="80" t="n">
        <v>2202001994</v>
      </c>
      <c r="F39" s="25" t="inlineStr">
        <is>
          <t>JAVIER GUERRERO SALAS</t>
        </is>
      </c>
      <c r="G39" s="86">
        <f>'JAVIER G.S'!R1</f>
        <v/>
      </c>
      <c r="H39" s="18">
        <f>RESUMEN_GENERAL!$H$2-G39</f>
        <v/>
      </c>
      <c r="I39" s="82" t="n">
        <v>46083</v>
      </c>
      <c r="J39" s="56" t="n">
        <v>46297</v>
      </c>
      <c r="K39" s="30" t="inlineStr">
        <is>
          <t>26-I</t>
        </is>
      </c>
      <c r="L39" s="78" t="inlineStr">
        <is>
          <t>al2202001994@azc.uam.mx</t>
        </is>
      </c>
      <c r="M39" s="30" t="inlineStr">
        <is>
          <t>jgs27052002@gmail.com</t>
        </is>
      </c>
      <c r="N39" s="30" t="n">
        <v>5575229694</v>
      </c>
    </row>
    <row r="40" ht="15.75" customHeight="1" s="177">
      <c r="A40" s="1" t="n"/>
      <c r="B40" s="1" t="n"/>
      <c r="C40" s="87" t="inlineStr">
        <is>
          <t>ACTIVO</t>
        </is>
      </c>
      <c r="D40" s="22" t="inlineStr">
        <is>
          <t>ing. Electrónica</t>
        </is>
      </c>
      <c r="E40" s="80" t="n">
        <v>2192007142</v>
      </c>
      <c r="F40" s="25" t="inlineStr">
        <is>
          <t>KATHERINE MENDEZ MARQUEZ</t>
        </is>
      </c>
      <c r="G40" s="86">
        <f>'KATHERINE M.M'!R1</f>
        <v/>
      </c>
      <c r="H40" s="18">
        <f>RESUMEN_GENERAL!$H$2-G40</f>
        <v/>
      </c>
      <c r="I40" s="56" t="n">
        <v>46097</v>
      </c>
      <c r="J40" s="56" t="n">
        <v>46311</v>
      </c>
      <c r="K40" s="30" t="inlineStr">
        <is>
          <t>26-I</t>
        </is>
      </c>
      <c r="L40" s="30" t="inlineStr">
        <is>
          <t>al2192007142@azc.uam.mx</t>
        </is>
      </c>
      <c r="M40" s="30" t="inlineStr">
        <is>
          <t>katherinemend25@gmail.com</t>
        </is>
      </c>
      <c r="N40" s="30" t="n">
        <v>5540382947</v>
      </c>
    </row>
    <row r="41" ht="15.75" customHeight="1" s="177">
      <c r="A41" s="1" t="n"/>
      <c r="B41" s="1" t="n"/>
      <c r="C41" s="87" t="inlineStr">
        <is>
          <t>ACTIVO</t>
        </is>
      </c>
      <c r="D41" s="22" t="inlineStr">
        <is>
          <t>Ing. Computación</t>
        </is>
      </c>
      <c r="E41" s="80" t="n">
        <v>2192000287</v>
      </c>
      <c r="F41" s="25" t="inlineStr">
        <is>
          <t>FÁTIMA PACHECO ZACARÍAS</t>
        </is>
      </c>
      <c r="G41" s="86">
        <f>'FÁTIMA P.Z'!R1</f>
        <v/>
      </c>
      <c r="H41" s="18">
        <f>RESUMEN_GENERAL!$H$2-G41</f>
        <v/>
      </c>
      <c r="I41" s="56" t="n">
        <v>46097</v>
      </c>
      <c r="J41" s="56" t="n">
        <v>46311</v>
      </c>
      <c r="K41" s="30" t="inlineStr">
        <is>
          <t>26-I</t>
        </is>
      </c>
      <c r="L41" s="30" t="inlineStr">
        <is>
          <t>al2192000287@azc.uam.mx</t>
        </is>
      </c>
      <c r="M41" s="30" t="inlineStr">
        <is>
          <t>fatimapzcd9@gmail.com</t>
        </is>
      </c>
      <c r="N41" s="30" t="n">
        <v>5523387311</v>
      </c>
    </row>
    <row r="42" ht="15.75" customHeight="1" s="177">
      <c r="A42" s="1" t="n"/>
      <c r="B42" s="1" t="n"/>
      <c r="C42" s="87" t="inlineStr">
        <is>
          <t>ACTIVO</t>
        </is>
      </c>
      <c r="D42" s="22" t="inlineStr">
        <is>
          <t>Ing. Computación</t>
        </is>
      </c>
      <c r="E42" s="80" t="n">
        <v>2212005477</v>
      </c>
      <c r="F42" s="25" t="inlineStr">
        <is>
          <t>RAMOS MAYÉN ALEJANDRO</t>
        </is>
      </c>
      <c r="G42" s="86">
        <f>'ALEJANDRO R.M'!R1</f>
        <v/>
      </c>
      <c r="H42" s="18">
        <f>RESUMEN_GENERAL!$H$2-G42</f>
        <v/>
      </c>
      <c r="I42" s="56" t="n">
        <v>46153</v>
      </c>
      <c r="J42" s="56" t="n">
        <v>46367</v>
      </c>
      <c r="K42" s="30" t="inlineStr">
        <is>
          <t>26-P</t>
        </is>
      </c>
      <c r="L42" s="30" t="inlineStr">
        <is>
          <t>al2212005477@azc.uam.mx</t>
        </is>
      </c>
      <c r="M42" s="30" t="inlineStr">
        <is>
          <t>ramosmayenalejandro700@gmail.com</t>
        </is>
      </c>
      <c r="N42" s="30" t="n">
        <v>5613614260</v>
      </c>
    </row>
    <row r="43" ht="15.75" customHeight="1" s="177">
      <c r="A43" s="1" t="n"/>
      <c r="B43" s="1" t="n"/>
      <c r="C43" s="87" t="inlineStr">
        <is>
          <t>ACTIVO</t>
        </is>
      </c>
      <c r="D43" s="22" t="inlineStr">
        <is>
          <t>Ing. Computación</t>
        </is>
      </c>
      <c r="E43" s="80" t="n">
        <v>2203029585</v>
      </c>
      <c r="F43" s="25" t="inlineStr">
        <is>
          <t>GONZÁLEZ GUTIÉRREZ CHRISTIAN</t>
        </is>
      </c>
      <c r="G43" s="86">
        <f>'CHRISTIAN G.G'!R1</f>
        <v/>
      </c>
      <c r="H43" s="18">
        <f>RESUMEN_GENERAL!$H$2-G43</f>
        <v/>
      </c>
      <c r="I43" s="56" t="n">
        <v>46168</v>
      </c>
      <c r="J43" s="56" t="n">
        <v>46374</v>
      </c>
      <c r="K43" s="30" t="inlineStr">
        <is>
          <t>26-P</t>
        </is>
      </c>
      <c r="L43" s="30" t="inlineStr">
        <is>
          <t>al2203029585@azc.uam.mx</t>
        </is>
      </c>
      <c r="M43" s="30" t="inlineStr">
        <is>
          <t>xgth44@gmail.com</t>
        </is>
      </c>
      <c r="N43" s="30" t="n">
        <v>5584149344</v>
      </c>
    </row>
    <row r="44" ht="15.75" customHeight="1" s="177">
      <c r="A44" s="1" t="n"/>
      <c r="B44" s="1" t="n"/>
      <c r="C44" s="87" t="inlineStr">
        <is>
          <t>ACTIVO</t>
        </is>
      </c>
      <c r="D44" s="22" t="inlineStr">
        <is>
          <t>Ing. Computación</t>
        </is>
      </c>
      <c r="E44" s="80" t="n">
        <v>2163001145</v>
      </c>
      <c r="F44" s="25" t="inlineStr">
        <is>
          <t>CASTILLO GARCÍA LUIS FERNANDO</t>
        </is>
      </c>
      <c r="G44" s="86">
        <f>'LUIS F.C.G'!R1</f>
        <v/>
      </c>
      <c r="H44" s="18">
        <f>RESUMEN_GENERAL!$H$2-G44</f>
        <v/>
      </c>
      <c r="I44" s="56" t="n">
        <v>46153</v>
      </c>
      <c r="J44" s="56" t="n">
        <v>46367</v>
      </c>
      <c r="K44" s="30" t="inlineStr">
        <is>
          <t>26-P</t>
        </is>
      </c>
      <c r="L44" s="30" t="inlineStr">
        <is>
          <t>al2163001145@azc.uam.mx</t>
        </is>
      </c>
      <c r="M44" s="30" t="inlineStr">
        <is>
          <t>luisfer.castillo.garcia@gmail.com</t>
        </is>
      </c>
      <c r="N44" s="30" t="n">
        <v>7641054897</v>
      </c>
    </row>
    <row r="45" ht="15.75" customHeight="1" s="177">
      <c r="A45" s="1" t="n"/>
      <c r="B45" s="1" t="n"/>
      <c r="C45" s="87" t="inlineStr">
        <is>
          <t>ACTIVO</t>
        </is>
      </c>
      <c r="D45" s="22" t="inlineStr">
        <is>
          <t>Ing. Eléctrica</t>
        </is>
      </c>
      <c r="E45" s="80" t="n">
        <v>2223037289</v>
      </c>
      <c r="F45" s="25" t="inlineStr">
        <is>
          <t>RAMÍREZ GARCÍA FERNANDO JAVIER</t>
        </is>
      </c>
      <c r="G45" s="86">
        <f>'FERNANDO J.R.G'!R1</f>
        <v/>
      </c>
      <c r="H45" s="18">
        <f>RESUMEN_GENERAL!$H$2-G45</f>
        <v/>
      </c>
      <c r="I45" s="56" t="n">
        <v>46153</v>
      </c>
      <c r="J45" s="56" t="n">
        <v>46367</v>
      </c>
      <c r="K45" s="30" t="inlineStr">
        <is>
          <t>26-P</t>
        </is>
      </c>
      <c r="L45" s="30" t="inlineStr">
        <is>
          <t>al2223037289@azc.uam.mx</t>
        </is>
      </c>
      <c r="M45" s="30" t="inlineStr">
        <is>
          <t>fernando.ramirezga.55@gmail.com</t>
        </is>
      </c>
      <c r="N45" s="30" t="n">
        <v>5522526031</v>
      </c>
    </row>
    <row r="46" ht="15.75" customHeight="1" s="177">
      <c r="A46" s="1" t="n"/>
      <c r="B46" s="1" t="n"/>
      <c r="C46" s="87" t="inlineStr">
        <is>
          <t>ACTIVO</t>
        </is>
      </c>
      <c r="D46" s="22" t="inlineStr">
        <is>
          <t>Ing. Industrial</t>
        </is>
      </c>
      <c r="E46" s="80" t="n">
        <v>2213001786</v>
      </c>
      <c r="F46" s="25" t="inlineStr">
        <is>
          <t>AGUILAR RAMÍREZ KARLA YAMILET</t>
        </is>
      </c>
      <c r="G46" s="86">
        <f>'KARLA Y.A.R'!R1</f>
        <v/>
      </c>
      <c r="H46" s="18">
        <f>RESUMEN_GENERAL!$H$2-G46</f>
        <v/>
      </c>
      <c r="I46" s="56" t="n">
        <v>46153</v>
      </c>
      <c r="J46" s="56" t="n">
        <v>46367</v>
      </c>
      <c r="K46" s="30" t="inlineStr">
        <is>
          <t>26-P</t>
        </is>
      </c>
      <c r="L46" s="30" t="inlineStr">
        <is>
          <t>al2213001786@azc.uam.mx</t>
        </is>
      </c>
      <c r="M46" s="30" t="inlineStr">
        <is>
          <t>kyaraaguilar2@gmail.com</t>
        </is>
      </c>
      <c r="N46" s="30" t="n">
        <v>7471896245</v>
      </c>
    </row>
    <row r="47" ht="15.75" customHeight="1" s="177">
      <c r="A47" s="1" t="n"/>
      <c r="B47" s="1" t="n"/>
      <c r="C47" s="87" t="inlineStr">
        <is>
          <t>ACTIVO</t>
        </is>
      </c>
      <c r="D47" s="22" t="inlineStr">
        <is>
          <t>Ing. Industrial</t>
        </is>
      </c>
      <c r="E47" s="80" t="n">
        <v>2222003761</v>
      </c>
      <c r="F47" s="25" t="inlineStr">
        <is>
          <t>CABRERA MONJARÁS MARÍA NATALIA</t>
        </is>
      </c>
      <c r="G47" s="86">
        <f>'MARIA N.C.M'!R1</f>
        <v/>
      </c>
      <c r="H47" s="18">
        <f>RESUMEN_GENERAL!$H$2-G47</f>
        <v/>
      </c>
      <c r="I47" s="56" t="n">
        <v>46168</v>
      </c>
      <c r="J47" s="56" t="n">
        <v>46374</v>
      </c>
      <c r="K47" s="30" t="inlineStr">
        <is>
          <t>26-P</t>
        </is>
      </c>
      <c r="L47" s="30" t="inlineStr">
        <is>
          <t>al2222003761@azc.uam.mx</t>
        </is>
      </c>
      <c r="M47" s="30" t="inlineStr">
        <is>
          <t>cabrera.natalia003@gmail.com</t>
        </is>
      </c>
      <c r="N47" s="30" t="n">
        <v>5573399705</v>
      </c>
    </row>
    <row r="48" ht="15.75" customHeight="1" s="177">
      <c r="A48" s="1" t="n"/>
      <c r="B48" s="1" t="n"/>
      <c r="C48" s="87" t="inlineStr">
        <is>
          <t>ACTIVO</t>
        </is>
      </c>
      <c r="D48" s="22" t="inlineStr">
        <is>
          <t>Ing. Computación</t>
        </is>
      </c>
      <c r="E48" s="80" t="n">
        <v>2223033254</v>
      </c>
      <c r="F48" s="25" t="inlineStr">
        <is>
          <t>LAGUNAS GÓMEZ RAFAEL EDUARDO</t>
        </is>
      </c>
      <c r="G48" s="86">
        <f>'RAFAEL E.L.G'!R1</f>
        <v/>
      </c>
      <c r="H48" s="18">
        <f>RESUMEN_GENERAL!$H$2-G48</f>
        <v/>
      </c>
      <c r="I48" s="56" t="n">
        <v>46160</v>
      </c>
      <c r="J48" s="56" t="n">
        <v>46374</v>
      </c>
      <c r="K48" s="30" t="inlineStr">
        <is>
          <t>26-P</t>
        </is>
      </c>
      <c r="L48" s="30" t="inlineStr">
        <is>
          <t>al2223033254@azc.uam.mx</t>
        </is>
      </c>
      <c r="M48" s="30" t="inlineStr">
        <is>
          <t>rafaellagunas178@gmail.com</t>
        </is>
      </c>
      <c r="N48" s="30" t="n">
        <v>5617051267</v>
      </c>
    </row>
    <row r="49" ht="15.75" customHeight="1" s="177">
      <c r="A49" s="1" t="n"/>
      <c r="B49" s="1" t="n"/>
      <c r="C49" s="87" t="inlineStr">
        <is>
          <t>ACTIVO</t>
        </is>
      </c>
      <c r="D49" s="22" t="inlineStr">
        <is>
          <t>Ing. Computación</t>
        </is>
      </c>
      <c r="E49" s="80" t="n">
        <v>2212005959</v>
      </c>
      <c r="F49" s="25" t="inlineStr">
        <is>
          <t>ESPINOSA MARTÍNEZ CESAR YAIR</t>
        </is>
      </c>
      <c r="G49" s="86">
        <f>'CESAR Y.E.M'!R1</f>
        <v/>
      </c>
      <c r="H49" s="18">
        <f>RESUMEN_GENERAL!$H$2-G49</f>
        <v/>
      </c>
      <c r="I49" s="56" t="n">
        <v>46169</v>
      </c>
      <c r="J49" s="56" t="n">
        <v>46374</v>
      </c>
      <c r="K49" s="30" t="inlineStr">
        <is>
          <t>26-P</t>
        </is>
      </c>
      <c r="L49" s="30" t="inlineStr">
        <is>
          <t>al2212005959@azc.uam.mx</t>
        </is>
      </c>
      <c r="M49" s="30" t="inlineStr">
        <is>
          <t>cesaryaem@gmail.com</t>
        </is>
      </c>
      <c r="N49" s="30" t="n">
        <v>5621754240</v>
      </c>
    </row>
    <row r="50" ht="15.75" customHeight="1" s="177">
      <c r="A50" s="1" t="n"/>
      <c r="B50" s="1" t="n"/>
      <c r="C50" s="87" t="inlineStr">
        <is>
          <t>ACTIVO</t>
        </is>
      </c>
      <c r="D50" s="22" t="inlineStr">
        <is>
          <t>Ing. Electrónica</t>
        </is>
      </c>
      <c r="E50" s="80" t="n">
        <v>2182000908</v>
      </c>
      <c r="F50" s="25" t="inlineStr">
        <is>
          <t>RIVERA LOPEZ MISAEL</t>
        </is>
      </c>
      <c r="G50" s="86">
        <f>'MISAEL R.L'!R1</f>
        <v/>
      </c>
      <c r="H50" s="18">
        <f>RESUMEN_GENERAL!$H$2-G50</f>
        <v/>
      </c>
      <c r="I50" s="56" t="n">
        <v>46202</v>
      </c>
      <c r="J50" s="56" t="n">
        <v>46430</v>
      </c>
      <c r="K50" s="30" t="inlineStr">
        <is>
          <t>26-P</t>
        </is>
      </c>
      <c r="L50" s="30" t="inlineStr">
        <is>
          <t>al218200098@azc.uam.mx</t>
        </is>
      </c>
      <c r="M50" s="30" t="inlineStr">
        <is>
          <t>akatsiki.10@gmail.com</t>
        </is>
      </c>
      <c r="N50" s="30" t="n">
        <v>9531119715</v>
      </c>
    </row>
    <row r="51" ht="15.75" customHeight="1" s="177">
      <c r="A51" s="1" t="n"/>
      <c r="B51" s="1" t="n"/>
      <c r="C51" s="87" t="inlineStr">
        <is>
          <t>ACTIVO</t>
        </is>
      </c>
      <c r="D51" s="22" t="inlineStr">
        <is>
          <t>Ing. Industrial</t>
        </is>
      </c>
      <c r="E51" s="80" t="n">
        <v>2193041059</v>
      </c>
      <c r="F51" s="25" t="inlineStr">
        <is>
          <t>PINEDA CUEVA LUDWING</t>
        </is>
      </c>
      <c r="G51" s="86">
        <f>'LUDWING P.C'!R1</f>
        <v/>
      </c>
      <c r="H51" s="18">
        <f>RESUMEN_GENERAL!$H$2-G51</f>
        <v/>
      </c>
      <c r="I51" s="56" t="n">
        <v>46288</v>
      </c>
      <c r="J51" s="56" t="n">
        <v>46496</v>
      </c>
      <c r="K51" s="30" t="inlineStr">
        <is>
          <t>26-O</t>
        </is>
      </c>
      <c r="L51" s="30" t="inlineStr">
        <is>
          <t>al2193041059@azc.uam.mx</t>
        </is>
      </c>
      <c r="M51" s="30" t="inlineStr">
        <is>
          <t>Ludwingpineda77@gmail.com</t>
        </is>
      </c>
      <c r="N51" s="30" t="n">
        <v>5560936371</v>
      </c>
    </row>
    <row r="52" ht="15.75" customHeight="1" s="177">
      <c r="A52" s="1" t="n"/>
      <c r="B52" s="1" t="n"/>
      <c r="C52" s="87" t="inlineStr">
        <is>
          <t>ACTIVO</t>
        </is>
      </c>
      <c r="D52" s="22" t="inlineStr">
        <is>
          <t>Ing. Mecánica</t>
        </is>
      </c>
      <c r="E52" s="80" t="n">
        <v>2202005250</v>
      </c>
      <c r="F52" s="25" t="inlineStr">
        <is>
          <t>TERRAZAS MARTINEZ CARLOS CRISTOPHER</t>
        </is>
      </c>
      <c r="G52" s="86">
        <f>'CARLOS C.T.M'!R1</f>
        <v/>
      </c>
      <c r="H52" s="18">
        <f>RESUMEN_GENERAL!$H$2-G52</f>
        <v/>
      </c>
      <c r="I52" s="56" t="n">
        <v>46293</v>
      </c>
      <c r="J52" s="56" t="n">
        <v>46503</v>
      </c>
      <c r="K52" s="30" t="inlineStr">
        <is>
          <t>26-O</t>
        </is>
      </c>
      <c r="L52" s="30" t="inlineStr">
        <is>
          <t>al2202005250@azc.uam.mx</t>
        </is>
      </c>
      <c r="M52" s="30" t="inlineStr">
        <is>
          <t>cterrazasmartinez95@gmail.com</t>
        </is>
      </c>
      <c r="N52" s="30" t="n">
        <v>5621646308</v>
      </c>
    </row>
    <row r="53" ht="15.75" customHeight="1" s="17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L53" s="1" t="n"/>
      <c r="M53" s="1" t="n"/>
      <c r="N53" s="1" t="n"/>
    </row>
    <row r="54" ht="15.75" customHeight="1" s="17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L54" s="1" t="n"/>
      <c r="M54" s="1" t="n"/>
      <c r="N54" s="1" t="n"/>
    </row>
    <row r="55" ht="15.75" customHeight="1" s="17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L55" s="1" t="n"/>
      <c r="M55" s="1" t="n"/>
      <c r="N55" s="1" t="n"/>
    </row>
    <row r="56" ht="15.75" customHeight="1" s="17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L56" s="1" t="n"/>
      <c r="M56" s="1" t="n"/>
      <c r="N56" s="1" t="n"/>
    </row>
    <row r="57" ht="15.75" customHeight="1" s="17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L57" s="1" t="n"/>
      <c r="M57" s="1" t="n"/>
      <c r="N57" s="1" t="n"/>
    </row>
    <row r="58" ht="15.75" customHeight="1" s="17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L58" s="1" t="n"/>
      <c r="M58" s="1" t="n"/>
      <c r="N58" s="1" t="n"/>
    </row>
    <row r="59" ht="15.75" customHeight="1" s="17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L59" s="1" t="n"/>
      <c r="M59" s="1" t="n"/>
      <c r="N59" s="1" t="n"/>
    </row>
    <row r="60" ht="15.75" customHeight="1" s="17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L60" s="1" t="n"/>
      <c r="M60" s="1" t="n"/>
      <c r="N60" s="1" t="n"/>
    </row>
    <row r="61" ht="15.75" customHeight="1" s="17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L61" s="1" t="n"/>
      <c r="M61" s="1" t="n"/>
      <c r="N61" s="1" t="n"/>
    </row>
    <row r="62" ht="15.75" customHeight="1" s="17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L62" s="1" t="n"/>
      <c r="M62" s="1" t="n"/>
      <c r="N62" s="1" t="n"/>
    </row>
    <row r="63" ht="15.75" customHeight="1" s="17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L63" s="1" t="n"/>
      <c r="M63" s="1" t="n"/>
      <c r="N63" s="1" t="n"/>
    </row>
    <row r="64" ht="15.75" customHeight="1" s="17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L64" s="1" t="n"/>
      <c r="M64" s="1" t="n"/>
      <c r="N64" s="1" t="n"/>
    </row>
    <row r="65" ht="15.75" customHeight="1" s="17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L65" s="1" t="n"/>
      <c r="M65" s="1" t="n"/>
      <c r="N65" s="1" t="n"/>
    </row>
    <row r="66" ht="15.75" customHeight="1" s="17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L66" s="1" t="n"/>
      <c r="M66" s="1" t="n"/>
      <c r="N66" s="1" t="n"/>
    </row>
    <row r="67" ht="15.75" customHeight="1" s="17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L67" s="1" t="n"/>
      <c r="M67" s="1" t="n"/>
      <c r="N67" s="1" t="n"/>
    </row>
    <row r="68" ht="15.75" customHeight="1" s="17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L68" s="1" t="n"/>
      <c r="M68" s="1" t="n"/>
      <c r="N68" s="1" t="n"/>
    </row>
    <row r="69" ht="15.75" customHeight="1" s="17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L69" s="1" t="n"/>
      <c r="M69" s="1" t="n"/>
      <c r="N69" s="1" t="n"/>
    </row>
    <row r="70" ht="15.75" customHeight="1" s="17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L70" s="1" t="n"/>
      <c r="M70" s="1" t="n"/>
      <c r="N70" s="1" t="n"/>
    </row>
    <row r="71" ht="15.75" customHeight="1" s="17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L71" s="1" t="n"/>
      <c r="M71" s="1" t="n"/>
      <c r="N71" s="1" t="n"/>
    </row>
    <row r="72" ht="15.75" customHeight="1" s="17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L72" s="1" t="n"/>
      <c r="M72" s="1" t="n"/>
      <c r="N72" s="1" t="n"/>
    </row>
    <row r="73" ht="15.75" customHeight="1" s="17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L73" s="1" t="n"/>
      <c r="M73" s="1" t="n"/>
      <c r="N73" s="1" t="n"/>
    </row>
    <row r="74" ht="15.75" customHeight="1" s="17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L74" s="1" t="n"/>
      <c r="M74" s="1" t="n"/>
      <c r="N74" s="1" t="n"/>
    </row>
    <row r="75" ht="15.75" customHeight="1" s="17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L75" s="1" t="n"/>
      <c r="M75" s="1" t="n"/>
      <c r="N75" s="1" t="n"/>
    </row>
    <row r="76" ht="15.75" customHeight="1" s="17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L76" s="1" t="n"/>
      <c r="M76" s="1" t="n"/>
      <c r="N76" s="1" t="n"/>
    </row>
    <row r="77" ht="15.75" customHeight="1" s="1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L77" s="1" t="n"/>
      <c r="M77" s="1" t="n"/>
      <c r="N77" s="1" t="n"/>
    </row>
    <row r="78" ht="15.75" customHeight="1" s="17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L78" s="1" t="n"/>
      <c r="M78" s="1" t="n"/>
      <c r="N78" s="1" t="n"/>
    </row>
    <row r="79" ht="15.75" customHeight="1" s="17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L79" s="1" t="n"/>
      <c r="M79" s="1" t="n"/>
      <c r="N79" s="1" t="n"/>
    </row>
    <row r="80" ht="15.75" customHeight="1" s="17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L80" s="1" t="n"/>
      <c r="M80" s="1" t="n"/>
      <c r="N80" s="1" t="n"/>
    </row>
    <row r="81" ht="15.75" customHeight="1" s="17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L81" s="1" t="n"/>
      <c r="M81" s="1" t="n"/>
      <c r="N81" s="1" t="n"/>
    </row>
    <row r="82" ht="15.75" customHeight="1" s="17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L82" s="1" t="n"/>
      <c r="M82" s="1" t="n"/>
      <c r="N82" s="1" t="n"/>
    </row>
    <row r="83" ht="15.75" customHeight="1" s="17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L83" s="1" t="n"/>
      <c r="M83" s="1" t="n"/>
      <c r="N83" s="1" t="n"/>
    </row>
    <row r="84" ht="15.75" customHeight="1" s="17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L84" s="1" t="n"/>
      <c r="M84" s="1" t="n"/>
      <c r="N84" s="1" t="n"/>
    </row>
    <row r="85" ht="15.75" customHeight="1" s="17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L85" s="1" t="n"/>
      <c r="M85" s="1" t="n"/>
      <c r="N85" s="1" t="n"/>
    </row>
    <row r="86" ht="15.75" customHeight="1" s="17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L86" s="1" t="n"/>
      <c r="M86" s="1" t="n"/>
      <c r="N86" s="1" t="n"/>
    </row>
    <row r="87" ht="15.75" customHeight="1" s="17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L87" s="1" t="n"/>
      <c r="M87" s="1" t="n"/>
      <c r="N87" s="1" t="n"/>
    </row>
    <row r="88" ht="15.75" customHeight="1" s="17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L88" s="1" t="n"/>
      <c r="M88" s="1" t="n"/>
      <c r="N88" s="1" t="n"/>
    </row>
    <row r="89" ht="15.75" customHeight="1" s="17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L89" s="1" t="n"/>
      <c r="M89" s="1" t="n"/>
      <c r="N89" s="1" t="n"/>
    </row>
    <row r="90" ht="15.75" customHeight="1" s="17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L90" s="1" t="n"/>
      <c r="M90" s="1" t="n"/>
      <c r="N90" s="1" t="n"/>
    </row>
    <row r="91" ht="15.75" customHeight="1" s="17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L91" s="1" t="n"/>
      <c r="M91" s="1" t="n"/>
      <c r="N91" s="1" t="n"/>
    </row>
    <row r="92" ht="15.75" customHeight="1" s="17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L92" s="1" t="n"/>
      <c r="M92" s="1" t="n"/>
      <c r="N92" s="1" t="n"/>
    </row>
    <row r="93" ht="15.75" customHeight="1" s="17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L93" s="1" t="n"/>
      <c r="M93" s="1" t="n"/>
      <c r="N93" s="1" t="n"/>
    </row>
    <row r="94" ht="15.75" customHeight="1" s="17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L94" s="1" t="n"/>
      <c r="M94" s="1" t="n"/>
      <c r="N94" s="1" t="n"/>
    </row>
    <row r="95" ht="15.75" customHeight="1" s="17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L95" s="1" t="n"/>
      <c r="M95" s="1" t="n"/>
      <c r="N95" s="1" t="n"/>
    </row>
    <row r="96" ht="15.75" customHeight="1" s="17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L96" s="1" t="n"/>
      <c r="M96" s="1" t="n"/>
      <c r="N96" s="1" t="n"/>
    </row>
    <row r="97" ht="15.75" customHeight="1" s="17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L97" s="1" t="n"/>
      <c r="M97" s="1" t="n"/>
      <c r="N97" s="1" t="n"/>
    </row>
    <row r="98" ht="15.75" customHeight="1" s="17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L98" s="1" t="n"/>
      <c r="M98" s="1" t="n"/>
      <c r="N98" s="1" t="n"/>
    </row>
    <row r="99" ht="15.75" customHeight="1" s="17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L99" s="1" t="n"/>
      <c r="M99" s="1" t="n"/>
      <c r="N99" s="1" t="n"/>
    </row>
    <row r="100" ht="15.75" customHeight="1" s="17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L100" s="1" t="n"/>
      <c r="M100" s="1" t="n"/>
      <c r="N100" s="1" t="n"/>
    </row>
    <row r="101" ht="15.75" customHeight="1" s="17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L101" s="1" t="n"/>
      <c r="M101" s="1" t="n"/>
      <c r="N101" s="1" t="n"/>
    </row>
    <row r="102" ht="15.75" customHeight="1" s="17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L102" s="1" t="n"/>
      <c r="M102" s="1" t="n"/>
      <c r="N102" s="1" t="n"/>
    </row>
    <row r="103" ht="15.75" customHeight="1" s="17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L103" s="1" t="n"/>
      <c r="M103" s="1" t="n"/>
      <c r="N103" s="1" t="n"/>
    </row>
    <row r="104" ht="15.75" customHeight="1" s="17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L104" s="1" t="n"/>
      <c r="M104" s="1" t="n"/>
      <c r="N104" s="1" t="n"/>
    </row>
    <row r="105" ht="15.75" customHeight="1" s="17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L105" s="1" t="n"/>
      <c r="M105" s="1" t="n"/>
      <c r="N105" s="1" t="n"/>
    </row>
    <row r="106" ht="15.75" customHeight="1" s="17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L106" s="1" t="n"/>
      <c r="M106" s="1" t="n"/>
      <c r="N106" s="1" t="n"/>
    </row>
    <row r="107" ht="15.75" customHeight="1" s="17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L107" s="1" t="n"/>
      <c r="M107" s="1" t="n"/>
      <c r="N107" s="1" t="n"/>
    </row>
    <row r="108" ht="15.75" customHeight="1" s="17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L108" s="1" t="n"/>
      <c r="M108" s="1" t="n"/>
      <c r="N108" s="1" t="n"/>
    </row>
    <row r="109" ht="15.75" customHeight="1" s="17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L109" s="1" t="n"/>
      <c r="M109" s="1" t="n"/>
      <c r="N109" s="1" t="n"/>
    </row>
    <row r="110" ht="15.75" customHeight="1" s="17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L110" s="1" t="n"/>
      <c r="M110" s="1" t="n"/>
      <c r="N110" s="1" t="n"/>
    </row>
    <row r="111" ht="15.75" customHeight="1" s="17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L111" s="1" t="n"/>
      <c r="M111" s="1" t="n"/>
      <c r="N111" s="1" t="n"/>
    </row>
    <row r="112" ht="15.75" customHeight="1" s="17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L112" s="1" t="n"/>
      <c r="M112" s="1" t="n"/>
      <c r="N112" s="1" t="n"/>
    </row>
    <row r="113" ht="15.75" customHeight="1" s="17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L113" s="1" t="n"/>
      <c r="M113" s="1" t="n"/>
      <c r="N113" s="1" t="n"/>
    </row>
    <row r="114" ht="15.75" customHeight="1" s="17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L114" s="1" t="n"/>
      <c r="M114" s="1" t="n"/>
      <c r="N114" s="1" t="n"/>
    </row>
    <row r="115" ht="15.75" customHeight="1" s="17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L115" s="1" t="n"/>
      <c r="M115" s="1" t="n"/>
      <c r="N115" s="1" t="n"/>
    </row>
    <row r="116" ht="15.75" customHeight="1" s="17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L116" s="1" t="n"/>
      <c r="M116" s="1" t="n"/>
      <c r="N116" s="1" t="n"/>
    </row>
    <row r="117" ht="15.75" customHeight="1" s="17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L117" s="1" t="n"/>
      <c r="M117" s="1" t="n"/>
      <c r="N117" s="1" t="n"/>
    </row>
    <row r="118" ht="15.75" customHeight="1" s="17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L118" s="1" t="n"/>
      <c r="M118" s="1" t="n"/>
      <c r="N118" s="1" t="n"/>
    </row>
    <row r="119" ht="15.75" customHeight="1" s="17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L119" s="1" t="n"/>
      <c r="M119" s="1" t="n"/>
      <c r="N119" s="1" t="n"/>
    </row>
    <row r="120" ht="15.75" customHeight="1" s="17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L120" s="1" t="n"/>
      <c r="M120" s="1" t="n"/>
      <c r="N120" s="1" t="n"/>
    </row>
    <row r="121" ht="15.75" customHeight="1" s="17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L121" s="1" t="n"/>
      <c r="M121" s="1" t="n"/>
      <c r="N121" s="1" t="n"/>
    </row>
    <row r="122" ht="15.75" customHeight="1" s="17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L122" s="1" t="n"/>
      <c r="M122" s="1" t="n"/>
      <c r="N122" s="1" t="n"/>
    </row>
    <row r="123" ht="15.75" customHeight="1" s="17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L123" s="1" t="n"/>
      <c r="M123" s="1" t="n"/>
      <c r="N123" s="1" t="n"/>
    </row>
    <row r="124" ht="15.75" customHeight="1" s="17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L124" s="1" t="n"/>
      <c r="M124" s="1" t="n"/>
      <c r="N124" s="1" t="n"/>
    </row>
    <row r="125" ht="15.75" customHeight="1" s="17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L125" s="1" t="n"/>
      <c r="M125" s="1" t="n"/>
      <c r="N125" s="1" t="n"/>
    </row>
    <row r="126" ht="15.75" customHeight="1" s="17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L126" s="1" t="n"/>
      <c r="M126" s="1" t="n"/>
      <c r="N126" s="1" t="n"/>
    </row>
    <row r="127" ht="15.75" customHeight="1" s="17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L127" s="1" t="n"/>
      <c r="M127" s="1" t="n"/>
      <c r="N127" s="1" t="n"/>
    </row>
    <row r="128" ht="15.75" customHeight="1" s="17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L128" s="1" t="n"/>
      <c r="M128" s="1" t="n"/>
      <c r="N128" s="1" t="n"/>
    </row>
    <row r="129" ht="15.75" customHeight="1" s="17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L129" s="1" t="n"/>
      <c r="M129" s="1" t="n"/>
      <c r="N129" s="1" t="n"/>
    </row>
    <row r="130" ht="15.75" customHeight="1" s="17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L130" s="1" t="n"/>
      <c r="M130" s="1" t="n"/>
      <c r="N130" s="1" t="n"/>
    </row>
    <row r="131" ht="15.75" customHeight="1" s="17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L131" s="1" t="n"/>
      <c r="M131" s="1" t="n"/>
      <c r="N131" s="1" t="n"/>
    </row>
    <row r="132" ht="15.75" customHeight="1" s="17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L132" s="1" t="n"/>
      <c r="M132" s="1" t="n"/>
      <c r="N132" s="1" t="n"/>
    </row>
    <row r="133" ht="15.75" customHeight="1" s="17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L133" s="1" t="n"/>
      <c r="M133" s="1" t="n"/>
      <c r="N133" s="1" t="n"/>
    </row>
    <row r="134" ht="15.75" customHeight="1" s="17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L134" s="1" t="n"/>
      <c r="M134" s="1" t="n"/>
      <c r="N134" s="1" t="n"/>
    </row>
    <row r="135" ht="15.75" customHeight="1" s="17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L135" s="1" t="n"/>
      <c r="M135" s="1" t="n"/>
      <c r="N135" s="1" t="n"/>
    </row>
    <row r="136" ht="15.75" customHeight="1" s="17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L136" s="1" t="n"/>
      <c r="M136" s="1" t="n"/>
      <c r="N136" s="1" t="n"/>
    </row>
    <row r="137" ht="15.75" customHeight="1" s="17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L137" s="1" t="n"/>
      <c r="M137" s="1" t="n"/>
      <c r="N137" s="1" t="n"/>
    </row>
    <row r="138" ht="15.75" customHeight="1" s="17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L138" s="1" t="n"/>
      <c r="M138" s="1" t="n"/>
      <c r="N138" s="1" t="n"/>
    </row>
    <row r="139" ht="15.75" customHeight="1" s="17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L139" s="1" t="n"/>
      <c r="M139" s="1" t="n"/>
      <c r="N139" s="1" t="n"/>
    </row>
    <row r="140" ht="15.75" customHeight="1" s="17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L140" s="1" t="n"/>
      <c r="M140" s="1" t="n"/>
      <c r="N140" s="1" t="n"/>
    </row>
    <row r="141" ht="15.75" customHeight="1" s="17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L141" s="1" t="n"/>
      <c r="M141" s="1" t="n"/>
      <c r="N141" s="1" t="n"/>
    </row>
    <row r="142" ht="15.75" customHeight="1" s="17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L142" s="1" t="n"/>
      <c r="M142" s="1" t="n"/>
      <c r="N142" s="1" t="n"/>
    </row>
    <row r="143" ht="15.75" customHeight="1" s="17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L143" s="1" t="n"/>
      <c r="M143" s="1" t="n"/>
      <c r="N143" s="1" t="n"/>
    </row>
    <row r="144" ht="15.75" customHeight="1" s="17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L144" s="1" t="n"/>
      <c r="M144" s="1" t="n"/>
      <c r="N144" s="1" t="n"/>
    </row>
    <row r="145" ht="15.75" customHeight="1" s="17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L145" s="1" t="n"/>
      <c r="M145" s="1" t="n"/>
      <c r="N145" s="1" t="n"/>
    </row>
    <row r="146" ht="15.75" customHeight="1" s="17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L146" s="1" t="n"/>
      <c r="M146" s="1" t="n"/>
      <c r="N146" s="1" t="n"/>
    </row>
    <row r="147" ht="15.75" customHeight="1" s="17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L147" s="1" t="n"/>
      <c r="M147" s="1" t="n"/>
      <c r="N147" s="1" t="n"/>
    </row>
    <row r="148" ht="15.75" customHeight="1" s="17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L148" s="1" t="n"/>
      <c r="M148" s="1" t="n"/>
      <c r="N148" s="1" t="n"/>
    </row>
    <row r="149" ht="15.75" customHeight="1" s="17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L149" s="1" t="n"/>
      <c r="M149" s="1" t="n"/>
      <c r="N149" s="1" t="n"/>
    </row>
    <row r="150" ht="15.75" customHeight="1" s="17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L150" s="1" t="n"/>
      <c r="M150" s="1" t="n"/>
      <c r="N150" s="1" t="n"/>
    </row>
    <row r="151" ht="15.75" customHeight="1" s="17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L151" s="1" t="n"/>
      <c r="M151" s="1" t="n"/>
      <c r="N151" s="1" t="n"/>
    </row>
    <row r="152" ht="15.75" customHeight="1" s="17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L152" s="1" t="n"/>
      <c r="M152" s="1" t="n"/>
      <c r="N152" s="1" t="n"/>
    </row>
    <row r="153" ht="15.75" customHeight="1" s="17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L153" s="1" t="n"/>
      <c r="M153" s="1" t="n"/>
      <c r="N153" s="1" t="n"/>
    </row>
    <row r="154" ht="15.75" customHeight="1" s="17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L154" s="1" t="n"/>
      <c r="M154" s="1" t="n"/>
      <c r="N154" s="1" t="n"/>
    </row>
    <row r="155" ht="15.75" customHeight="1" s="17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L155" s="1" t="n"/>
      <c r="M155" s="1" t="n"/>
      <c r="N155" s="1" t="n"/>
    </row>
    <row r="156" ht="15.75" customHeight="1" s="17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L156" s="1" t="n"/>
      <c r="M156" s="1" t="n"/>
      <c r="N156" s="1" t="n"/>
    </row>
    <row r="157" ht="15.75" customHeight="1" s="17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L157" s="1" t="n"/>
      <c r="M157" s="1" t="n"/>
      <c r="N157" s="1" t="n"/>
    </row>
    <row r="158" ht="15.75" customHeight="1" s="17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L158" s="1" t="n"/>
      <c r="M158" s="1" t="n"/>
      <c r="N158" s="1" t="n"/>
    </row>
    <row r="159" ht="15.75" customHeight="1" s="17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L159" s="1" t="n"/>
      <c r="M159" s="1" t="n"/>
      <c r="N159" s="1" t="n"/>
    </row>
    <row r="160" ht="15.75" customHeight="1" s="17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L160" s="1" t="n"/>
      <c r="M160" s="1" t="n"/>
      <c r="N160" s="1" t="n"/>
    </row>
    <row r="161" ht="15.75" customHeight="1" s="17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L161" s="1" t="n"/>
      <c r="M161" s="1" t="n"/>
      <c r="N161" s="1" t="n"/>
    </row>
    <row r="162" ht="15.75" customHeight="1" s="17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L162" s="1" t="n"/>
      <c r="M162" s="1" t="n"/>
      <c r="N162" s="1" t="n"/>
    </row>
    <row r="163" ht="15.75" customHeight="1" s="17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L163" s="1" t="n"/>
      <c r="M163" s="1" t="n"/>
      <c r="N163" s="1" t="n"/>
    </row>
    <row r="164" ht="15.75" customHeight="1" s="17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L164" s="1" t="n"/>
      <c r="M164" s="1" t="n"/>
      <c r="N164" s="1" t="n"/>
    </row>
    <row r="165" ht="15.75" customHeight="1" s="17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L165" s="1" t="n"/>
      <c r="M165" s="1" t="n"/>
      <c r="N165" s="1" t="n"/>
    </row>
    <row r="166" ht="15.75" customHeight="1" s="17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L166" s="1" t="n"/>
      <c r="M166" s="1" t="n"/>
      <c r="N166" s="1" t="n"/>
    </row>
    <row r="167" ht="15.75" customHeight="1" s="17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L167" s="1" t="n"/>
      <c r="M167" s="1" t="n"/>
      <c r="N167" s="1" t="n"/>
    </row>
    <row r="168" ht="15.75" customHeight="1" s="17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L168" s="1" t="n"/>
      <c r="M168" s="1" t="n"/>
      <c r="N168" s="1" t="n"/>
    </row>
    <row r="169" ht="15.75" customHeight="1" s="17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L169" s="1" t="n"/>
      <c r="M169" s="1" t="n"/>
      <c r="N169" s="1" t="n"/>
    </row>
    <row r="170" ht="15.75" customHeight="1" s="17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L170" s="1" t="n"/>
      <c r="M170" s="1" t="n"/>
      <c r="N170" s="1" t="n"/>
    </row>
    <row r="171" ht="15.75" customHeight="1" s="17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L171" s="1" t="n"/>
      <c r="M171" s="1" t="n"/>
      <c r="N171" s="1" t="n"/>
    </row>
    <row r="172" ht="15.75" customHeight="1" s="17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L172" s="1" t="n"/>
      <c r="M172" s="1" t="n"/>
      <c r="N172" s="1" t="n"/>
    </row>
    <row r="173" ht="15.75" customHeight="1" s="17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L173" s="1" t="n"/>
      <c r="M173" s="1" t="n"/>
      <c r="N173" s="1" t="n"/>
    </row>
    <row r="174" ht="15.75" customHeight="1" s="17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L174" s="1" t="n"/>
      <c r="M174" s="1" t="n"/>
      <c r="N174" s="1" t="n"/>
    </row>
    <row r="175" ht="15.75" customHeight="1" s="17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L175" s="1" t="n"/>
      <c r="M175" s="1" t="n"/>
      <c r="N175" s="1" t="n"/>
    </row>
    <row r="176" ht="15.75" customHeight="1" s="17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L176" s="1" t="n"/>
      <c r="M176" s="1" t="n"/>
      <c r="N176" s="1" t="n"/>
    </row>
    <row r="177" ht="15.75" customHeight="1" s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L177" s="1" t="n"/>
      <c r="M177" s="1" t="n"/>
      <c r="N177" s="1" t="n"/>
    </row>
    <row r="178" ht="15.75" customHeight="1" s="17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L178" s="1" t="n"/>
      <c r="M178" s="1" t="n"/>
      <c r="N178" s="1" t="n"/>
    </row>
    <row r="179" ht="15.75" customHeight="1" s="17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L179" s="1" t="n"/>
      <c r="M179" s="1" t="n"/>
      <c r="N179" s="1" t="n"/>
    </row>
    <row r="180" ht="15.75" customHeight="1" s="17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L180" s="1" t="n"/>
      <c r="M180" s="1" t="n"/>
      <c r="N180" s="1" t="n"/>
    </row>
    <row r="181" ht="15.75" customHeight="1" s="17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L181" s="1" t="n"/>
      <c r="M181" s="1" t="n"/>
      <c r="N181" s="1" t="n"/>
    </row>
    <row r="182" ht="15.75" customHeight="1" s="17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L182" s="1" t="n"/>
      <c r="M182" s="1" t="n"/>
      <c r="N182" s="1" t="n"/>
    </row>
    <row r="183" ht="15.75" customHeight="1" s="17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L183" s="1" t="n"/>
      <c r="M183" s="1" t="n"/>
      <c r="N183" s="1" t="n"/>
    </row>
    <row r="184" ht="15.75" customHeight="1" s="17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L184" s="1" t="n"/>
      <c r="M184" s="1" t="n"/>
      <c r="N184" s="1" t="n"/>
    </row>
    <row r="185" ht="15.75" customHeight="1" s="17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L185" s="1" t="n"/>
      <c r="M185" s="1" t="n"/>
      <c r="N185" s="1" t="n"/>
    </row>
    <row r="186" ht="15.75" customHeight="1" s="17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L186" s="1" t="n"/>
      <c r="M186" s="1" t="n"/>
      <c r="N186" s="1" t="n"/>
    </row>
    <row r="187" ht="15.75" customHeight="1" s="17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L187" s="1" t="n"/>
      <c r="M187" s="1" t="n"/>
      <c r="N187" s="1" t="n"/>
    </row>
    <row r="188" ht="15.75" customHeight="1" s="17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L188" s="1" t="n"/>
      <c r="M188" s="1" t="n"/>
      <c r="N188" s="1" t="n"/>
    </row>
    <row r="189" ht="15.75" customHeight="1" s="17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L189" s="1" t="n"/>
      <c r="M189" s="1" t="n"/>
      <c r="N189" s="1" t="n"/>
    </row>
    <row r="190" ht="15.75" customHeight="1" s="17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L190" s="1" t="n"/>
      <c r="M190" s="1" t="n"/>
      <c r="N190" s="1" t="n"/>
    </row>
    <row r="191" ht="15.75" customHeight="1" s="17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L191" s="1" t="n"/>
      <c r="M191" s="1" t="n"/>
      <c r="N191" s="1" t="n"/>
    </row>
    <row r="192" ht="15.75" customHeight="1" s="17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L192" s="1" t="n"/>
      <c r="M192" s="1" t="n"/>
      <c r="N192" s="1" t="n"/>
    </row>
    <row r="193" ht="15.75" customHeight="1" s="17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L193" s="1" t="n"/>
      <c r="M193" s="1" t="n"/>
      <c r="N193" s="1" t="n"/>
    </row>
    <row r="194" ht="15.75" customHeight="1" s="17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L194" s="1" t="n"/>
      <c r="M194" s="1" t="n"/>
      <c r="N194" s="1" t="n"/>
    </row>
    <row r="195" ht="15.75" customHeight="1" s="17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L195" s="1" t="n"/>
      <c r="M195" s="1" t="n"/>
      <c r="N195" s="1" t="n"/>
    </row>
    <row r="196" ht="15.75" customHeight="1" s="17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L196" s="1" t="n"/>
      <c r="M196" s="1" t="n"/>
      <c r="N196" s="1" t="n"/>
    </row>
    <row r="197" ht="15.75" customHeight="1" s="17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L197" s="1" t="n"/>
      <c r="M197" s="1" t="n"/>
      <c r="N197" s="1" t="n"/>
    </row>
    <row r="198" ht="15.75" customHeight="1" s="17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L198" s="1" t="n"/>
      <c r="M198" s="1" t="n"/>
      <c r="N198" s="1" t="n"/>
    </row>
    <row r="199" ht="15.75" customHeight="1" s="17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L199" s="1" t="n"/>
      <c r="M199" s="1" t="n"/>
      <c r="N199" s="1" t="n"/>
    </row>
    <row r="200" ht="15.75" customHeight="1" s="17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L200" s="1" t="n"/>
      <c r="M200" s="1" t="n"/>
      <c r="N200" s="1" t="n"/>
    </row>
    <row r="201" ht="15.75" customHeight="1" s="17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L201" s="1" t="n"/>
      <c r="M201" s="1" t="n"/>
      <c r="N201" s="1" t="n"/>
    </row>
    <row r="202" ht="15.75" customHeight="1" s="17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L202" s="1" t="n"/>
      <c r="M202" s="1" t="n"/>
      <c r="N202" s="1" t="n"/>
    </row>
    <row r="203" ht="15.75" customHeight="1" s="17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L203" s="1" t="n"/>
      <c r="M203" s="1" t="n"/>
      <c r="N203" s="1" t="n"/>
    </row>
    <row r="204" ht="15.75" customHeight="1" s="17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L204" s="1" t="n"/>
      <c r="M204" s="1" t="n"/>
      <c r="N204" s="1" t="n"/>
    </row>
    <row r="205" ht="15.75" customHeight="1" s="17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L205" s="1" t="n"/>
      <c r="M205" s="1" t="n"/>
      <c r="N205" s="1" t="n"/>
    </row>
    <row r="206" ht="15.75" customHeight="1" s="17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L206" s="1" t="n"/>
      <c r="M206" s="1" t="n"/>
      <c r="N206" s="1" t="n"/>
    </row>
    <row r="207" ht="15.75" customHeight="1" s="17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L207" s="1" t="n"/>
      <c r="M207" s="1" t="n"/>
      <c r="N207" s="1" t="n"/>
    </row>
    <row r="208" ht="15.75" customHeight="1" s="17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L208" s="1" t="n"/>
      <c r="M208" s="1" t="n"/>
      <c r="N208" s="1" t="n"/>
    </row>
    <row r="209" ht="15.75" customHeight="1" s="17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L209" s="1" t="n"/>
      <c r="M209" s="1" t="n"/>
      <c r="N209" s="1" t="n"/>
    </row>
    <row r="210" ht="15.75" customHeight="1" s="17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L210" s="1" t="n"/>
      <c r="M210" s="1" t="n"/>
      <c r="N210" s="1" t="n"/>
    </row>
    <row r="211" ht="15.75" customHeight="1" s="17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L211" s="1" t="n"/>
      <c r="M211" s="1" t="n"/>
      <c r="N211" s="1" t="n"/>
    </row>
    <row r="212" ht="15.75" customHeight="1" s="17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L212" s="1" t="n"/>
      <c r="M212" s="1" t="n"/>
      <c r="N212" s="1" t="n"/>
    </row>
    <row r="213" ht="15.75" customHeight="1" s="17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L213" s="1" t="n"/>
      <c r="M213" s="1" t="n"/>
      <c r="N213" s="1" t="n"/>
    </row>
    <row r="214" ht="15.75" customHeight="1" s="17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L214" s="1" t="n"/>
      <c r="M214" s="1" t="n"/>
      <c r="N214" s="1" t="n"/>
    </row>
    <row r="215" ht="15.75" customHeight="1" s="17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L215" s="1" t="n"/>
      <c r="M215" s="1" t="n"/>
      <c r="N215" s="1" t="n"/>
    </row>
    <row r="216" ht="15.75" customHeight="1" s="17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L216" s="1" t="n"/>
      <c r="M216" s="1" t="n"/>
      <c r="N216" s="1" t="n"/>
    </row>
    <row r="217" ht="15.75" customHeight="1" s="17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L217" s="1" t="n"/>
      <c r="M217" s="1" t="n"/>
      <c r="N217" s="1" t="n"/>
    </row>
    <row r="218" ht="15.75" customHeight="1" s="17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L218" s="1" t="n"/>
      <c r="M218" s="1" t="n"/>
      <c r="N218" s="1" t="n"/>
    </row>
    <row r="219" ht="15.75" customHeight="1" s="17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L219" s="1" t="n"/>
      <c r="M219" s="1" t="n"/>
      <c r="N219" s="1" t="n"/>
    </row>
    <row r="220" ht="15.75" customHeight="1" s="17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L220" s="1" t="n"/>
      <c r="M220" s="1" t="n"/>
      <c r="N220" s="1" t="n"/>
    </row>
    <row r="221" ht="15.75" customHeight="1" s="17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L221" s="1" t="n"/>
      <c r="M221" s="1" t="n"/>
      <c r="N221" s="1" t="n"/>
    </row>
    <row r="222" ht="15.75" customHeight="1" s="17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L222" s="1" t="n"/>
      <c r="M222" s="1" t="n"/>
      <c r="N222" s="1" t="n"/>
    </row>
    <row r="223" ht="15.75" customHeight="1" s="17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L223" s="1" t="n"/>
      <c r="M223" s="1" t="n"/>
      <c r="N223" s="1" t="n"/>
    </row>
    <row r="224" ht="15.75" customHeight="1" s="17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L224" s="1" t="n"/>
      <c r="M224" s="1" t="n"/>
      <c r="N224" s="1" t="n"/>
    </row>
    <row r="225" ht="15.75" customHeight="1" s="17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L225" s="1" t="n"/>
      <c r="M225" s="1" t="n"/>
      <c r="N225" s="1" t="n"/>
    </row>
    <row r="226" ht="15.75" customHeight="1" s="17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L226" s="1" t="n"/>
      <c r="M226" s="1" t="n"/>
      <c r="N226" s="1" t="n"/>
    </row>
    <row r="227" ht="15.75" customHeight="1" s="17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L227" s="1" t="n"/>
      <c r="M227" s="1" t="n"/>
      <c r="N227" s="1" t="n"/>
    </row>
    <row r="228" ht="15.75" customHeight="1" s="17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L228" s="1" t="n"/>
      <c r="M228" s="1" t="n"/>
      <c r="N228" s="1" t="n"/>
    </row>
    <row r="229" ht="15.75" customHeight="1" s="17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L229" s="1" t="n"/>
      <c r="M229" s="1" t="n"/>
      <c r="N229" s="1" t="n"/>
    </row>
    <row r="230" ht="15.75" customHeight="1" s="17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L230" s="1" t="n"/>
      <c r="M230" s="1" t="n"/>
      <c r="N230" s="1" t="n"/>
    </row>
    <row r="231" ht="15.75" customHeight="1" s="17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L231" s="1" t="n"/>
      <c r="M231" s="1" t="n"/>
      <c r="N231" s="1" t="n"/>
    </row>
    <row r="232" ht="15.75" customHeight="1" s="17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L232" s="1" t="n"/>
      <c r="M232" s="1" t="n"/>
      <c r="N232" s="1" t="n"/>
    </row>
    <row r="233" ht="15.75" customHeight="1" s="17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L233" s="1" t="n"/>
      <c r="M233" s="1" t="n"/>
      <c r="N233" s="1" t="n"/>
    </row>
    <row r="234" ht="15.75" customHeight="1" s="17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L234" s="1" t="n"/>
      <c r="M234" s="1" t="n"/>
      <c r="N234" s="1" t="n"/>
    </row>
    <row r="235" ht="15.75" customHeight="1" s="17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L235" s="1" t="n"/>
      <c r="M235" s="1" t="n"/>
      <c r="N235" s="1" t="n"/>
    </row>
    <row r="236" ht="15.75" customHeight="1" s="17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L236" s="1" t="n"/>
      <c r="M236" s="1" t="n"/>
      <c r="N236" s="1" t="n"/>
    </row>
    <row r="237" ht="15.75" customHeight="1" s="17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L237" s="1" t="n"/>
      <c r="M237" s="1" t="n"/>
      <c r="N237" s="1" t="n"/>
    </row>
    <row r="238" ht="15.75" customHeight="1" s="17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L238" s="1" t="n"/>
      <c r="M238" s="1" t="n"/>
      <c r="N238" s="1" t="n"/>
    </row>
    <row r="239" ht="15.75" customHeight="1" s="17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L239" s="1" t="n"/>
      <c r="M239" s="1" t="n"/>
      <c r="N239" s="1" t="n"/>
    </row>
    <row r="240" ht="15.75" customHeight="1" s="17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L240" s="1" t="n"/>
      <c r="M240" s="1" t="n"/>
      <c r="N240" s="1" t="n"/>
    </row>
    <row r="241" ht="15.75" customHeight="1" s="17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L241" s="1" t="n"/>
      <c r="M241" s="1" t="n"/>
      <c r="N241" s="1" t="n"/>
    </row>
    <row r="242" ht="15.75" customHeight="1" s="17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L242" s="1" t="n"/>
      <c r="M242" s="1" t="n"/>
      <c r="N242" s="1" t="n"/>
    </row>
    <row r="243" ht="15.75" customHeight="1" s="17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L243" s="1" t="n"/>
      <c r="M243" s="1" t="n"/>
      <c r="N243" s="1" t="n"/>
    </row>
    <row r="244" ht="15.75" customHeight="1" s="17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L244" s="1" t="n"/>
      <c r="M244" s="1" t="n"/>
      <c r="N244" s="1" t="n"/>
    </row>
    <row r="245" ht="15.75" customHeight="1" s="17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L245" s="1" t="n"/>
      <c r="M245" s="1" t="n"/>
      <c r="N245" s="1" t="n"/>
    </row>
    <row r="246" ht="15.75" customHeight="1" s="17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L246" s="1" t="n"/>
      <c r="M246" s="1" t="n"/>
      <c r="N246" s="1" t="n"/>
    </row>
    <row r="247" ht="15.75" customHeight="1" s="17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L247" s="1" t="n"/>
      <c r="M247" s="1" t="n"/>
      <c r="N247" s="1" t="n"/>
    </row>
    <row r="248" ht="15.75" customHeight="1" s="17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L248" s="1" t="n"/>
      <c r="M248" s="1" t="n"/>
      <c r="N248" s="1" t="n"/>
    </row>
    <row r="249" ht="15.75" customHeight="1" s="17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L249" s="1" t="n"/>
      <c r="M249" s="1" t="n"/>
      <c r="N249" s="1" t="n"/>
    </row>
    <row r="250" ht="15.75" customHeight="1" s="17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L250" s="1" t="n"/>
      <c r="M250" s="1" t="n"/>
      <c r="N250" s="1" t="n"/>
    </row>
    <row r="251" ht="15.75" customHeight="1" s="17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L251" s="1" t="n"/>
      <c r="M251" s="1" t="n"/>
      <c r="N251" s="1" t="n"/>
    </row>
    <row r="252" ht="15.75" customHeight="1" s="17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L252" s="1" t="n"/>
      <c r="M252" s="1" t="n"/>
      <c r="N252" s="1" t="n"/>
    </row>
    <row r="253" ht="15.75" customHeight="1" s="17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L253" s="1" t="n"/>
      <c r="M253" s="1" t="n"/>
      <c r="N253" s="1" t="n"/>
    </row>
    <row r="254" ht="15.75" customHeight="1" s="17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L254" s="1" t="n"/>
      <c r="M254" s="1" t="n"/>
      <c r="N254" s="1" t="n"/>
    </row>
    <row r="255" ht="15.75" customHeight="1" s="17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L255" s="1" t="n"/>
      <c r="M255" s="1" t="n"/>
      <c r="N255" s="1" t="n"/>
    </row>
    <row r="256" ht="15.75" customHeight="1" s="17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L256" s="1" t="n"/>
      <c r="M256" s="1" t="n"/>
      <c r="N256" s="1" t="n"/>
    </row>
    <row r="257" ht="15.75" customHeight="1" s="17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L257" s="1" t="n"/>
      <c r="M257" s="1" t="n"/>
      <c r="N257" s="1" t="n"/>
    </row>
    <row r="258" ht="15.75" customHeight="1" s="17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L258" s="1" t="n"/>
      <c r="M258" s="1" t="n"/>
      <c r="N258" s="1" t="n"/>
    </row>
    <row r="259" ht="15.75" customHeight="1" s="17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L259" s="1" t="n"/>
      <c r="M259" s="1" t="n"/>
      <c r="N259" s="1" t="n"/>
    </row>
    <row r="260" ht="15.75" customHeight="1" s="17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L260" s="1" t="n"/>
      <c r="M260" s="1" t="n"/>
      <c r="N260" s="1" t="n"/>
    </row>
    <row r="261" ht="15.75" customHeight="1" s="17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L261" s="1" t="n"/>
      <c r="M261" s="1" t="n"/>
      <c r="N261" s="1" t="n"/>
    </row>
    <row r="262" ht="15.75" customHeight="1" s="17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L262" s="1" t="n"/>
      <c r="M262" s="1" t="n"/>
      <c r="N262" s="1" t="n"/>
    </row>
    <row r="263" ht="15.75" customHeight="1" s="17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L263" s="1" t="n"/>
      <c r="M263" s="1" t="n"/>
      <c r="N263" s="1" t="n"/>
    </row>
    <row r="264" ht="15.75" customHeight="1" s="17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L264" s="1" t="n"/>
      <c r="M264" s="1" t="n"/>
      <c r="N264" s="1" t="n"/>
    </row>
    <row r="265" ht="15.75" customHeight="1" s="17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L265" s="1" t="n"/>
      <c r="M265" s="1" t="n"/>
      <c r="N265" s="1" t="n"/>
    </row>
    <row r="266" ht="15.75" customHeight="1" s="17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L266" s="1" t="n"/>
      <c r="M266" s="1" t="n"/>
      <c r="N266" s="1" t="n"/>
    </row>
    <row r="267" ht="15.75" customHeight="1" s="17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L267" s="1" t="n"/>
      <c r="M267" s="1" t="n"/>
      <c r="N267" s="1" t="n"/>
    </row>
    <row r="268" ht="15.75" customHeight="1" s="17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L268" s="1" t="n"/>
      <c r="M268" s="1" t="n"/>
      <c r="N268" s="1" t="n"/>
    </row>
    <row r="269" ht="15.75" customHeight="1" s="17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L269" s="1" t="n"/>
      <c r="M269" s="1" t="n"/>
      <c r="N269" s="1" t="n"/>
    </row>
    <row r="270" ht="15.75" customHeight="1" s="17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L270" s="1" t="n"/>
      <c r="M270" s="1" t="n"/>
      <c r="N270" s="1" t="n"/>
    </row>
    <row r="271" ht="15.75" customHeight="1" s="17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L271" s="1" t="n"/>
      <c r="M271" s="1" t="n"/>
      <c r="N271" s="1" t="n"/>
    </row>
    <row r="272" ht="15.75" customHeight="1" s="17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L272" s="1" t="n"/>
      <c r="M272" s="1" t="n"/>
      <c r="N272" s="1" t="n"/>
    </row>
    <row r="273" ht="15.75" customHeight="1" s="17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L273" s="1" t="n"/>
      <c r="M273" s="1" t="n"/>
      <c r="N273" s="1" t="n"/>
    </row>
    <row r="274" ht="15.75" customHeight="1" s="17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L274" s="1" t="n"/>
      <c r="M274" s="1" t="n"/>
      <c r="N274" s="1" t="n"/>
    </row>
    <row r="275" ht="15.75" customHeight="1" s="17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L275" s="1" t="n"/>
      <c r="M275" s="1" t="n"/>
      <c r="N275" s="1" t="n"/>
    </row>
    <row r="276" ht="15.75" customHeight="1" s="17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L276" s="1" t="n"/>
      <c r="M276" s="1" t="n"/>
      <c r="N276" s="1" t="n"/>
    </row>
    <row r="277" ht="15.75" customHeight="1" s="1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L277" s="1" t="n"/>
      <c r="M277" s="1" t="n"/>
      <c r="N277" s="1" t="n"/>
    </row>
    <row r="278" ht="15.75" customHeight="1" s="17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L278" s="1" t="n"/>
      <c r="M278" s="1" t="n"/>
      <c r="N278" s="1" t="n"/>
    </row>
    <row r="279" ht="15.75" customHeight="1" s="17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L279" s="1" t="n"/>
      <c r="M279" s="1" t="n"/>
      <c r="N279" s="1" t="n"/>
    </row>
    <row r="280" ht="15.75" customHeight="1" s="17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L280" s="1" t="n"/>
      <c r="M280" s="1" t="n"/>
      <c r="N280" s="1" t="n"/>
    </row>
    <row r="281" ht="15.75" customHeight="1" s="17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L281" s="1" t="n"/>
      <c r="M281" s="1" t="n"/>
      <c r="N281" s="1" t="n"/>
    </row>
    <row r="282" ht="15.75" customHeight="1" s="17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L282" s="1" t="n"/>
      <c r="M282" s="1" t="n"/>
      <c r="N282" s="1" t="n"/>
    </row>
    <row r="283" ht="15.75" customHeight="1" s="17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L283" s="1" t="n"/>
      <c r="M283" s="1" t="n"/>
      <c r="N283" s="1" t="n"/>
    </row>
    <row r="284" ht="15.75" customHeight="1" s="17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L284" s="1" t="n"/>
      <c r="M284" s="1" t="n"/>
      <c r="N284" s="1" t="n"/>
    </row>
    <row r="285" ht="15.75" customHeight="1" s="17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L285" s="1" t="n"/>
      <c r="M285" s="1" t="n"/>
      <c r="N285" s="1" t="n"/>
    </row>
    <row r="286" ht="15.75" customHeight="1" s="17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L286" s="1" t="n"/>
      <c r="M286" s="1" t="n"/>
      <c r="N286" s="1" t="n"/>
    </row>
    <row r="287" ht="15.75" customHeight="1" s="17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L287" s="1" t="n"/>
      <c r="M287" s="1" t="n"/>
      <c r="N287" s="1" t="n"/>
    </row>
    <row r="288" ht="15.75" customHeight="1" s="17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L288" s="1" t="n"/>
      <c r="M288" s="1" t="n"/>
      <c r="N288" s="1" t="n"/>
    </row>
    <row r="289" ht="15.75" customHeight="1" s="17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L289" s="1" t="n"/>
      <c r="M289" s="1" t="n"/>
      <c r="N289" s="1" t="n"/>
    </row>
    <row r="290" ht="15.75" customHeight="1" s="17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L290" s="1" t="n"/>
      <c r="M290" s="1" t="n"/>
      <c r="N290" s="1" t="n"/>
    </row>
    <row r="291" ht="15.75" customHeight="1" s="17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L291" s="1" t="n"/>
      <c r="M291" s="1" t="n"/>
      <c r="N291" s="1" t="n"/>
    </row>
    <row r="292" ht="15.75" customHeight="1" s="17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L292" s="1" t="n"/>
      <c r="M292" s="1" t="n"/>
      <c r="N292" s="1" t="n"/>
    </row>
    <row r="293" ht="15.75" customHeight="1" s="17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L293" s="1" t="n"/>
      <c r="M293" s="1" t="n"/>
      <c r="N293" s="1" t="n"/>
    </row>
    <row r="294" ht="15.75" customHeight="1" s="17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L294" s="1" t="n"/>
      <c r="M294" s="1" t="n"/>
      <c r="N294" s="1" t="n"/>
    </row>
    <row r="295" ht="15.75" customHeight="1" s="17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L295" s="1" t="n"/>
      <c r="M295" s="1" t="n"/>
      <c r="N295" s="1" t="n"/>
    </row>
    <row r="296" ht="15.75" customHeight="1" s="17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L296" s="1" t="n"/>
      <c r="M296" s="1" t="n"/>
      <c r="N296" s="1" t="n"/>
    </row>
    <row r="297" ht="15.75" customHeight="1" s="17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L297" s="1" t="n"/>
      <c r="M297" s="1" t="n"/>
      <c r="N297" s="1" t="n"/>
    </row>
    <row r="298" ht="15.75" customHeight="1" s="17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L298" s="1" t="n"/>
      <c r="M298" s="1" t="n"/>
      <c r="N298" s="1" t="n"/>
    </row>
    <row r="299" ht="15.75" customHeight="1" s="17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L299" s="1" t="n"/>
      <c r="M299" s="1" t="n"/>
      <c r="N299" s="1" t="n"/>
    </row>
    <row r="300" ht="15.75" customHeight="1" s="17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L300" s="1" t="n"/>
      <c r="M300" s="1" t="n"/>
      <c r="N300" s="1" t="n"/>
    </row>
    <row r="301" ht="15.75" customHeight="1" s="17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L301" s="1" t="n"/>
      <c r="M301" s="1" t="n"/>
      <c r="N301" s="1" t="n"/>
    </row>
    <row r="302" ht="15.75" customHeight="1" s="17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L302" s="1" t="n"/>
      <c r="M302" s="1" t="n"/>
      <c r="N302" s="1" t="n"/>
    </row>
    <row r="303" ht="15.75" customHeight="1" s="17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L303" s="1" t="n"/>
      <c r="M303" s="1" t="n"/>
      <c r="N303" s="1" t="n"/>
    </row>
    <row r="304" ht="15.75" customHeight="1" s="17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L304" s="1" t="n"/>
      <c r="M304" s="1" t="n"/>
      <c r="N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L305" s="1" t="n"/>
      <c r="M305" s="1" t="n"/>
      <c r="N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L306" s="1" t="n"/>
      <c r="M306" s="1" t="n"/>
      <c r="N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L307" s="1" t="n"/>
      <c r="M307" s="1" t="n"/>
      <c r="N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L308" s="1" t="n"/>
      <c r="M308" s="1" t="n"/>
      <c r="N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L309" s="1" t="n"/>
      <c r="M309" s="1" t="n"/>
      <c r="N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L310" s="1" t="n"/>
      <c r="M310" s="1" t="n"/>
      <c r="N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L311" s="1" t="n"/>
      <c r="M311" s="1" t="n"/>
      <c r="N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L312" s="1" t="n"/>
      <c r="M312" s="1" t="n"/>
      <c r="N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L313" s="1" t="n"/>
      <c r="M313" s="1" t="n"/>
      <c r="N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L314" s="1" t="n"/>
      <c r="M314" s="1" t="n"/>
      <c r="N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L315" s="1" t="n"/>
      <c r="M315" s="1" t="n"/>
      <c r="N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L316" s="1" t="n"/>
      <c r="M316" s="1" t="n"/>
      <c r="N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L317" s="1" t="n"/>
      <c r="M317" s="1" t="n"/>
      <c r="N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L318" s="1" t="n"/>
      <c r="M318" s="1" t="n"/>
      <c r="N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L319" s="1" t="n"/>
      <c r="M319" s="1" t="n"/>
      <c r="N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L320" s="1" t="n"/>
      <c r="M320" s="1" t="n"/>
      <c r="N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L321" s="1" t="n"/>
      <c r="M321" s="1" t="n"/>
      <c r="N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L322" s="1" t="n"/>
      <c r="M322" s="1" t="n"/>
      <c r="N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L323" s="1" t="n"/>
      <c r="M323" s="1" t="n"/>
      <c r="N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L324" s="1" t="n"/>
      <c r="M324" s="1" t="n"/>
      <c r="N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L325" s="1" t="n"/>
      <c r="M325" s="1" t="n"/>
      <c r="N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L326" s="1" t="n"/>
      <c r="M326" s="1" t="n"/>
      <c r="N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L327" s="1" t="n"/>
      <c r="M327" s="1" t="n"/>
      <c r="N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L328" s="1" t="n"/>
      <c r="M328" s="1" t="n"/>
      <c r="N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L329" s="1" t="n"/>
      <c r="M329" s="1" t="n"/>
      <c r="N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L330" s="1" t="n"/>
      <c r="M330" s="1" t="n"/>
      <c r="N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L331" s="1" t="n"/>
      <c r="M331" s="1" t="n"/>
      <c r="N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L332" s="1" t="n"/>
      <c r="M332" s="1" t="n"/>
      <c r="N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L333" s="1" t="n"/>
      <c r="M333" s="1" t="n"/>
      <c r="N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L334" s="1" t="n"/>
      <c r="M334" s="1" t="n"/>
      <c r="N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L335" s="1" t="n"/>
      <c r="M335" s="1" t="n"/>
      <c r="N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L336" s="1" t="n"/>
      <c r="M336" s="1" t="n"/>
      <c r="N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L337" s="1" t="n"/>
      <c r="M337" s="1" t="n"/>
      <c r="N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L338" s="1" t="n"/>
      <c r="M338" s="1" t="n"/>
      <c r="N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L339" s="1" t="n"/>
      <c r="M339" s="1" t="n"/>
      <c r="N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L340" s="1" t="n"/>
      <c r="M340" s="1" t="n"/>
      <c r="N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L341" s="1" t="n"/>
      <c r="M341" s="1" t="n"/>
      <c r="N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L342" s="1" t="n"/>
      <c r="M342" s="1" t="n"/>
      <c r="N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L343" s="1" t="n"/>
      <c r="M343" s="1" t="n"/>
      <c r="N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L344" s="1" t="n"/>
      <c r="M344" s="1" t="n"/>
      <c r="N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L345" s="1" t="n"/>
      <c r="M345" s="1" t="n"/>
      <c r="N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L346" s="1" t="n"/>
      <c r="M346" s="1" t="n"/>
      <c r="N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L347" s="1" t="n"/>
      <c r="M347" s="1" t="n"/>
      <c r="N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L348" s="1" t="n"/>
      <c r="M348" s="1" t="n"/>
      <c r="N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L349" s="1" t="n"/>
      <c r="M349" s="1" t="n"/>
      <c r="N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L350" s="1" t="n"/>
      <c r="M350" s="1" t="n"/>
      <c r="N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L351" s="1" t="n"/>
      <c r="M351" s="1" t="n"/>
      <c r="N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L352" s="1" t="n"/>
      <c r="M352" s="1" t="n"/>
      <c r="N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L353" s="1" t="n"/>
      <c r="M353" s="1" t="n"/>
      <c r="N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L354" s="1" t="n"/>
      <c r="M354" s="1" t="n"/>
      <c r="N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L355" s="1" t="n"/>
      <c r="M355" s="1" t="n"/>
      <c r="N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L356" s="1" t="n"/>
      <c r="M356" s="1" t="n"/>
      <c r="N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L357" s="1" t="n"/>
      <c r="M357" s="1" t="n"/>
      <c r="N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L358" s="1" t="n"/>
      <c r="M358" s="1" t="n"/>
      <c r="N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L359" s="1" t="n"/>
      <c r="M359" s="1" t="n"/>
      <c r="N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L360" s="1" t="n"/>
      <c r="M360" s="1" t="n"/>
      <c r="N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L361" s="1" t="n"/>
      <c r="M361" s="1" t="n"/>
      <c r="N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L362" s="1" t="n"/>
      <c r="M362" s="1" t="n"/>
      <c r="N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L363" s="1" t="n"/>
      <c r="M363" s="1" t="n"/>
      <c r="N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L364" s="1" t="n"/>
      <c r="M364" s="1" t="n"/>
      <c r="N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L365" s="1" t="n"/>
      <c r="M365" s="1" t="n"/>
      <c r="N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L366" s="1" t="n"/>
      <c r="M366" s="1" t="n"/>
      <c r="N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L367" s="1" t="n"/>
      <c r="M367" s="1" t="n"/>
      <c r="N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L368" s="1" t="n"/>
      <c r="M368" s="1" t="n"/>
      <c r="N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L369" s="1" t="n"/>
      <c r="M369" s="1" t="n"/>
      <c r="N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L370" s="1" t="n"/>
      <c r="M370" s="1" t="n"/>
      <c r="N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L371" s="1" t="n"/>
      <c r="M371" s="1" t="n"/>
      <c r="N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L372" s="1" t="n"/>
      <c r="M372" s="1" t="n"/>
      <c r="N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L373" s="1" t="n"/>
      <c r="M373" s="1" t="n"/>
      <c r="N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L374" s="1" t="n"/>
      <c r="M374" s="1" t="n"/>
      <c r="N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L375" s="1" t="n"/>
      <c r="M375" s="1" t="n"/>
      <c r="N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L376" s="1" t="n"/>
      <c r="M376" s="1" t="n"/>
      <c r="N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L377" s="1" t="n"/>
      <c r="M377" s="1" t="n"/>
      <c r="N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L378" s="1" t="n"/>
      <c r="M378" s="1" t="n"/>
      <c r="N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L379" s="1" t="n"/>
      <c r="M379" s="1" t="n"/>
      <c r="N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L380" s="1" t="n"/>
      <c r="M380" s="1" t="n"/>
      <c r="N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L381" s="1" t="n"/>
      <c r="M381" s="1" t="n"/>
      <c r="N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L382" s="1" t="n"/>
      <c r="M382" s="1" t="n"/>
      <c r="N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L383" s="1" t="n"/>
      <c r="M383" s="1" t="n"/>
      <c r="N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L384" s="1" t="n"/>
      <c r="M384" s="1" t="n"/>
      <c r="N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L385" s="1" t="n"/>
      <c r="M385" s="1" t="n"/>
      <c r="N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L386" s="1" t="n"/>
      <c r="M386" s="1" t="n"/>
      <c r="N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L387" s="1" t="n"/>
      <c r="M387" s="1" t="n"/>
      <c r="N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L388" s="1" t="n"/>
      <c r="M388" s="1" t="n"/>
      <c r="N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L389" s="1" t="n"/>
      <c r="M389" s="1" t="n"/>
      <c r="N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L390" s="1" t="n"/>
      <c r="M390" s="1" t="n"/>
      <c r="N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L391" s="1" t="n"/>
      <c r="M391" s="1" t="n"/>
      <c r="N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L392" s="1" t="n"/>
      <c r="M392" s="1" t="n"/>
      <c r="N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L393" s="1" t="n"/>
      <c r="M393" s="1" t="n"/>
      <c r="N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L394" s="1" t="n"/>
      <c r="M394" s="1" t="n"/>
      <c r="N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L395" s="1" t="n"/>
      <c r="M395" s="1" t="n"/>
      <c r="N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L396" s="1" t="n"/>
      <c r="M396" s="1" t="n"/>
      <c r="N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L397" s="1" t="n"/>
      <c r="M397" s="1" t="n"/>
      <c r="N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L398" s="1" t="n"/>
      <c r="M398" s="1" t="n"/>
      <c r="N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L399" s="1" t="n"/>
      <c r="M399" s="1" t="n"/>
      <c r="N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L400" s="1" t="n"/>
      <c r="M400" s="1" t="n"/>
      <c r="N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L401" s="1" t="n"/>
      <c r="M401" s="1" t="n"/>
      <c r="N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L402" s="1" t="n"/>
      <c r="M402" s="1" t="n"/>
      <c r="N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L403" s="1" t="n"/>
      <c r="M403" s="1" t="n"/>
      <c r="N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L404" s="1" t="n"/>
      <c r="M404" s="1" t="n"/>
      <c r="N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L405" s="1" t="n"/>
      <c r="M405" s="1" t="n"/>
      <c r="N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L406" s="1" t="n"/>
      <c r="M406" s="1" t="n"/>
      <c r="N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L407" s="1" t="n"/>
      <c r="M407" s="1" t="n"/>
      <c r="N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L408" s="1" t="n"/>
      <c r="M408" s="1" t="n"/>
      <c r="N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L409" s="1" t="n"/>
      <c r="M409" s="1" t="n"/>
      <c r="N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L410" s="1" t="n"/>
      <c r="M410" s="1" t="n"/>
      <c r="N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L411" s="1" t="n"/>
      <c r="M411" s="1" t="n"/>
      <c r="N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L412" s="1" t="n"/>
      <c r="M412" s="1" t="n"/>
      <c r="N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L413" s="1" t="n"/>
      <c r="M413" s="1" t="n"/>
      <c r="N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L414" s="1" t="n"/>
      <c r="M414" s="1" t="n"/>
      <c r="N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L415" s="1" t="n"/>
      <c r="M415" s="1" t="n"/>
      <c r="N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L416" s="1" t="n"/>
      <c r="M416" s="1" t="n"/>
      <c r="N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L417" s="1" t="n"/>
      <c r="M417" s="1" t="n"/>
      <c r="N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L418" s="1" t="n"/>
      <c r="M418" s="1" t="n"/>
      <c r="N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L419" s="1" t="n"/>
      <c r="M419" s="1" t="n"/>
      <c r="N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L420" s="1" t="n"/>
      <c r="M420" s="1" t="n"/>
      <c r="N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L421" s="1" t="n"/>
      <c r="M421" s="1" t="n"/>
      <c r="N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L422" s="1" t="n"/>
      <c r="M422" s="1" t="n"/>
      <c r="N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L423" s="1" t="n"/>
      <c r="M423" s="1" t="n"/>
      <c r="N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L424" s="1" t="n"/>
      <c r="M424" s="1" t="n"/>
      <c r="N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L425" s="1" t="n"/>
      <c r="M425" s="1" t="n"/>
      <c r="N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L426" s="1" t="n"/>
      <c r="M426" s="1" t="n"/>
      <c r="N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L427" s="1" t="n"/>
      <c r="M427" s="1" t="n"/>
      <c r="N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L428" s="1" t="n"/>
      <c r="M428" s="1" t="n"/>
      <c r="N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L429" s="1" t="n"/>
      <c r="M429" s="1" t="n"/>
      <c r="N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L430" s="1" t="n"/>
      <c r="M430" s="1" t="n"/>
      <c r="N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L431" s="1" t="n"/>
      <c r="M431" s="1" t="n"/>
      <c r="N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L432" s="1" t="n"/>
      <c r="M432" s="1" t="n"/>
      <c r="N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L433" s="1" t="n"/>
      <c r="M433" s="1" t="n"/>
      <c r="N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L434" s="1" t="n"/>
      <c r="M434" s="1" t="n"/>
      <c r="N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L435" s="1" t="n"/>
      <c r="M435" s="1" t="n"/>
      <c r="N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L436" s="1" t="n"/>
      <c r="M436" s="1" t="n"/>
      <c r="N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L437" s="1" t="n"/>
      <c r="M437" s="1" t="n"/>
      <c r="N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L438" s="1" t="n"/>
      <c r="M438" s="1" t="n"/>
      <c r="N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L439" s="1" t="n"/>
      <c r="M439" s="1" t="n"/>
      <c r="N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L440" s="1" t="n"/>
      <c r="M440" s="1" t="n"/>
      <c r="N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L441" s="1" t="n"/>
      <c r="M441" s="1" t="n"/>
      <c r="N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L442" s="1" t="n"/>
      <c r="M442" s="1" t="n"/>
      <c r="N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L443" s="1" t="n"/>
      <c r="M443" s="1" t="n"/>
      <c r="N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L444" s="1" t="n"/>
      <c r="M444" s="1" t="n"/>
      <c r="N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L445" s="1" t="n"/>
      <c r="M445" s="1" t="n"/>
      <c r="N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L446" s="1" t="n"/>
      <c r="M446" s="1" t="n"/>
      <c r="N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L447" s="1" t="n"/>
      <c r="M447" s="1" t="n"/>
      <c r="N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L448" s="1" t="n"/>
      <c r="M448" s="1" t="n"/>
      <c r="N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L449" s="1" t="n"/>
      <c r="M449" s="1" t="n"/>
      <c r="N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L450" s="1" t="n"/>
      <c r="M450" s="1" t="n"/>
      <c r="N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L451" s="1" t="n"/>
      <c r="M451" s="1" t="n"/>
      <c r="N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L452" s="1" t="n"/>
      <c r="M452" s="1" t="n"/>
      <c r="N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L453" s="1" t="n"/>
      <c r="M453" s="1" t="n"/>
      <c r="N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L454" s="1" t="n"/>
      <c r="M454" s="1" t="n"/>
      <c r="N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L455" s="1" t="n"/>
      <c r="M455" s="1" t="n"/>
      <c r="N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L456" s="1" t="n"/>
      <c r="M456" s="1" t="n"/>
      <c r="N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L457" s="1" t="n"/>
      <c r="M457" s="1" t="n"/>
      <c r="N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L458" s="1" t="n"/>
      <c r="M458" s="1" t="n"/>
      <c r="N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L459" s="1" t="n"/>
      <c r="M459" s="1" t="n"/>
      <c r="N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L460" s="1" t="n"/>
      <c r="M460" s="1" t="n"/>
      <c r="N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L461" s="1" t="n"/>
      <c r="M461" s="1" t="n"/>
      <c r="N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L462" s="1" t="n"/>
      <c r="M462" s="1" t="n"/>
      <c r="N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L463" s="1" t="n"/>
      <c r="M463" s="1" t="n"/>
      <c r="N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L464" s="1" t="n"/>
      <c r="M464" s="1" t="n"/>
      <c r="N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L465" s="1" t="n"/>
      <c r="M465" s="1" t="n"/>
      <c r="N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L466" s="1" t="n"/>
      <c r="M466" s="1" t="n"/>
      <c r="N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L467" s="1" t="n"/>
      <c r="M467" s="1" t="n"/>
      <c r="N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L468" s="1" t="n"/>
      <c r="M468" s="1" t="n"/>
      <c r="N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L469" s="1" t="n"/>
      <c r="M469" s="1" t="n"/>
      <c r="N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L470" s="1" t="n"/>
      <c r="M470" s="1" t="n"/>
      <c r="N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L471" s="1" t="n"/>
      <c r="M471" s="1" t="n"/>
      <c r="N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L472" s="1" t="n"/>
      <c r="M472" s="1" t="n"/>
      <c r="N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L473" s="1" t="n"/>
      <c r="M473" s="1" t="n"/>
      <c r="N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L474" s="1" t="n"/>
      <c r="M474" s="1" t="n"/>
      <c r="N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L475" s="1" t="n"/>
      <c r="M475" s="1" t="n"/>
      <c r="N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L476" s="1" t="n"/>
      <c r="M476" s="1" t="n"/>
      <c r="N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L477" s="1" t="n"/>
      <c r="M477" s="1" t="n"/>
      <c r="N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L478" s="1" t="n"/>
      <c r="M478" s="1" t="n"/>
      <c r="N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L479" s="1" t="n"/>
      <c r="M479" s="1" t="n"/>
      <c r="N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L480" s="1" t="n"/>
      <c r="M480" s="1" t="n"/>
      <c r="N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L481" s="1" t="n"/>
      <c r="M481" s="1" t="n"/>
      <c r="N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L482" s="1" t="n"/>
      <c r="M482" s="1" t="n"/>
      <c r="N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L483" s="1" t="n"/>
      <c r="M483" s="1" t="n"/>
      <c r="N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L484" s="1" t="n"/>
      <c r="M484" s="1" t="n"/>
      <c r="N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L485" s="1" t="n"/>
      <c r="M485" s="1" t="n"/>
      <c r="N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L486" s="1" t="n"/>
      <c r="M486" s="1" t="n"/>
      <c r="N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L487" s="1" t="n"/>
      <c r="M487" s="1" t="n"/>
      <c r="N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L488" s="1" t="n"/>
      <c r="M488" s="1" t="n"/>
      <c r="N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L489" s="1" t="n"/>
      <c r="M489" s="1" t="n"/>
      <c r="N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L490" s="1" t="n"/>
      <c r="M490" s="1" t="n"/>
      <c r="N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L491" s="1" t="n"/>
      <c r="M491" s="1" t="n"/>
      <c r="N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L492" s="1" t="n"/>
      <c r="M492" s="1" t="n"/>
      <c r="N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L493" s="1" t="n"/>
      <c r="M493" s="1" t="n"/>
      <c r="N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L494" s="1" t="n"/>
      <c r="M494" s="1" t="n"/>
      <c r="N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L495" s="1" t="n"/>
      <c r="M495" s="1" t="n"/>
      <c r="N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L496" s="1" t="n"/>
      <c r="M496" s="1" t="n"/>
      <c r="N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L497" s="1" t="n"/>
      <c r="M497" s="1" t="n"/>
      <c r="N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L498" s="1" t="n"/>
      <c r="M498" s="1" t="n"/>
      <c r="N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L499" s="1" t="n"/>
      <c r="M499" s="1" t="n"/>
      <c r="N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L500" s="1" t="n"/>
      <c r="M500" s="1" t="n"/>
      <c r="N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L501" s="1" t="n"/>
      <c r="M501" s="1" t="n"/>
      <c r="N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L502" s="1" t="n"/>
      <c r="M502" s="1" t="n"/>
      <c r="N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L503" s="1" t="n"/>
      <c r="M503" s="1" t="n"/>
      <c r="N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L504" s="1" t="n"/>
      <c r="M504" s="1" t="n"/>
      <c r="N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L505" s="1" t="n"/>
      <c r="M505" s="1" t="n"/>
      <c r="N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L506" s="1" t="n"/>
      <c r="M506" s="1" t="n"/>
      <c r="N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L507" s="1" t="n"/>
      <c r="M507" s="1" t="n"/>
      <c r="N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L508" s="1" t="n"/>
      <c r="M508" s="1" t="n"/>
      <c r="N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L509" s="1" t="n"/>
      <c r="M509" s="1" t="n"/>
      <c r="N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L510" s="1" t="n"/>
      <c r="M510" s="1" t="n"/>
      <c r="N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L511" s="1" t="n"/>
      <c r="M511" s="1" t="n"/>
      <c r="N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L512" s="1" t="n"/>
      <c r="M512" s="1" t="n"/>
      <c r="N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L513" s="1" t="n"/>
      <c r="M513" s="1" t="n"/>
      <c r="N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L514" s="1" t="n"/>
      <c r="M514" s="1" t="n"/>
      <c r="N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L515" s="1" t="n"/>
      <c r="M515" s="1" t="n"/>
      <c r="N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L516" s="1" t="n"/>
      <c r="M516" s="1" t="n"/>
      <c r="N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L517" s="1" t="n"/>
      <c r="M517" s="1" t="n"/>
      <c r="N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L518" s="1" t="n"/>
      <c r="M518" s="1" t="n"/>
      <c r="N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L519" s="1" t="n"/>
      <c r="M519" s="1" t="n"/>
      <c r="N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L520" s="1" t="n"/>
      <c r="M520" s="1" t="n"/>
      <c r="N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L521" s="1" t="n"/>
      <c r="M521" s="1" t="n"/>
      <c r="N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L522" s="1" t="n"/>
      <c r="M522" s="1" t="n"/>
      <c r="N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L523" s="1" t="n"/>
      <c r="M523" s="1" t="n"/>
      <c r="N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L524" s="1" t="n"/>
      <c r="M524" s="1" t="n"/>
      <c r="N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L525" s="1" t="n"/>
      <c r="M525" s="1" t="n"/>
      <c r="N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L526" s="1" t="n"/>
      <c r="M526" s="1" t="n"/>
      <c r="N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L527" s="1" t="n"/>
      <c r="M527" s="1" t="n"/>
      <c r="N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L528" s="1" t="n"/>
      <c r="M528" s="1" t="n"/>
      <c r="N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L529" s="1" t="n"/>
      <c r="M529" s="1" t="n"/>
      <c r="N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L530" s="1" t="n"/>
      <c r="M530" s="1" t="n"/>
      <c r="N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L531" s="1" t="n"/>
      <c r="M531" s="1" t="n"/>
      <c r="N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L532" s="1" t="n"/>
      <c r="M532" s="1" t="n"/>
      <c r="N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L533" s="1" t="n"/>
      <c r="M533" s="1" t="n"/>
      <c r="N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L534" s="1" t="n"/>
      <c r="M534" s="1" t="n"/>
      <c r="N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L535" s="1" t="n"/>
      <c r="M535" s="1" t="n"/>
      <c r="N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L536" s="1" t="n"/>
      <c r="M536" s="1" t="n"/>
      <c r="N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L537" s="1" t="n"/>
      <c r="M537" s="1" t="n"/>
      <c r="N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L538" s="1" t="n"/>
      <c r="M538" s="1" t="n"/>
      <c r="N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L539" s="1" t="n"/>
      <c r="M539" s="1" t="n"/>
      <c r="N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L540" s="1" t="n"/>
      <c r="M540" s="1" t="n"/>
      <c r="N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L541" s="1" t="n"/>
      <c r="M541" s="1" t="n"/>
      <c r="N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L542" s="1" t="n"/>
      <c r="M542" s="1" t="n"/>
      <c r="N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L543" s="1" t="n"/>
      <c r="M543" s="1" t="n"/>
      <c r="N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L544" s="1" t="n"/>
      <c r="M544" s="1" t="n"/>
      <c r="N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L545" s="1" t="n"/>
      <c r="M545" s="1" t="n"/>
      <c r="N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L546" s="1" t="n"/>
      <c r="M546" s="1" t="n"/>
      <c r="N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L547" s="1" t="n"/>
      <c r="M547" s="1" t="n"/>
      <c r="N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L548" s="1" t="n"/>
      <c r="M548" s="1" t="n"/>
      <c r="N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L549" s="1" t="n"/>
      <c r="M549" s="1" t="n"/>
      <c r="N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L550" s="1" t="n"/>
      <c r="M550" s="1" t="n"/>
      <c r="N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L551" s="1" t="n"/>
      <c r="M551" s="1" t="n"/>
      <c r="N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L552" s="1" t="n"/>
      <c r="M552" s="1" t="n"/>
      <c r="N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L553" s="1" t="n"/>
      <c r="M553" s="1" t="n"/>
      <c r="N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L554" s="1" t="n"/>
      <c r="M554" s="1" t="n"/>
      <c r="N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L555" s="1" t="n"/>
      <c r="M555" s="1" t="n"/>
      <c r="N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L556" s="1" t="n"/>
      <c r="M556" s="1" t="n"/>
      <c r="N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L557" s="1" t="n"/>
      <c r="M557" s="1" t="n"/>
      <c r="N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L558" s="1" t="n"/>
      <c r="M558" s="1" t="n"/>
      <c r="N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L559" s="1" t="n"/>
      <c r="M559" s="1" t="n"/>
      <c r="N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L560" s="1" t="n"/>
      <c r="M560" s="1" t="n"/>
      <c r="N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L561" s="1" t="n"/>
      <c r="M561" s="1" t="n"/>
      <c r="N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L562" s="1" t="n"/>
      <c r="M562" s="1" t="n"/>
      <c r="N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L563" s="1" t="n"/>
      <c r="M563" s="1" t="n"/>
      <c r="N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L564" s="1" t="n"/>
      <c r="M564" s="1" t="n"/>
      <c r="N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L565" s="1" t="n"/>
      <c r="M565" s="1" t="n"/>
      <c r="N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L566" s="1" t="n"/>
      <c r="M566" s="1" t="n"/>
      <c r="N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L567" s="1" t="n"/>
      <c r="M567" s="1" t="n"/>
      <c r="N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L568" s="1" t="n"/>
      <c r="M568" s="1" t="n"/>
      <c r="N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L569" s="1" t="n"/>
      <c r="M569" s="1" t="n"/>
      <c r="N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L570" s="1" t="n"/>
      <c r="M570" s="1" t="n"/>
      <c r="N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L571" s="1" t="n"/>
      <c r="M571" s="1" t="n"/>
      <c r="N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L572" s="1" t="n"/>
      <c r="M572" s="1" t="n"/>
      <c r="N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L573" s="1" t="n"/>
      <c r="M573" s="1" t="n"/>
      <c r="N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L574" s="1" t="n"/>
      <c r="M574" s="1" t="n"/>
      <c r="N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L575" s="1" t="n"/>
      <c r="M575" s="1" t="n"/>
      <c r="N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L576" s="1" t="n"/>
      <c r="M576" s="1" t="n"/>
      <c r="N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L577" s="1" t="n"/>
      <c r="M577" s="1" t="n"/>
      <c r="N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L578" s="1" t="n"/>
      <c r="M578" s="1" t="n"/>
      <c r="N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L579" s="1" t="n"/>
      <c r="M579" s="1" t="n"/>
      <c r="N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L580" s="1" t="n"/>
      <c r="M580" s="1" t="n"/>
      <c r="N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L581" s="1" t="n"/>
      <c r="M581" s="1" t="n"/>
      <c r="N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L582" s="1" t="n"/>
      <c r="M582" s="1" t="n"/>
      <c r="N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L583" s="1" t="n"/>
      <c r="M583" s="1" t="n"/>
      <c r="N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L584" s="1" t="n"/>
      <c r="M584" s="1" t="n"/>
      <c r="N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L585" s="1" t="n"/>
      <c r="M585" s="1" t="n"/>
      <c r="N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L586" s="1" t="n"/>
      <c r="M586" s="1" t="n"/>
      <c r="N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L587" s="1" t="n"/>
      <c r="M587" s="1" t="n"/>
      <c r="N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L588" s="1" t="n"/>
      <c r="M588" s="1" t="n"/>
      <c r="N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L589" s="1" t="n"/>
      <c r="M589" s="1" t="n"/>
      <c r="N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L590" s="1" t="n"/>
      <c r="M590" s="1" t="n"/>
      <c r="N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L591" s="1" t="n"/>
      <c r="M591" s="1" t="n"/>
      <c r="N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L592" s="1" t="n"/>
      <c r="M592" s="1" t="n"/>
      <c r="N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L593" s="1" t="n"/>
      <c r="M593" s="1" t="n"/>
      <c r="N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L594" s="1" t="n"/>
      <c r="M594" s="1" t="n"/>
      <c r="N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L595" s="1" t="n"/>
      <c r="M595" s="1" t="n"/>
      <c r="N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L596" s="1" t="n"/>
      <c r="M596" s="1" t="n"/>
      <c r="N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L597" s="1" t="n"/>
      <c r="M597" s="1" t="n"/>
      <c r="N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L598" s="1" t="n"/>
      <c r="M598" s="1" t="n"/>
      <c r="N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L599" s="1" t="n"/>
      <c r="M599" s="1" t="n"/>
      <c r="N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L600" s="1" t="n"/>
      <c r="M600" s="1" t="n"/>
      <c r="N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L601" s="1" t="n"/>
      <c r="M601" s="1" t="n"/>
      <c r="N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L602" s="1" t="n"/>
      <c r="M602" s="1" t="n"/>
      <c r="N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L603" s="1" t="n"/>
      <c r="M603" s="1" t="n"/>
      <c r="N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L604" s="1" t="n"/>
      <c r="M604" s="1" t="n"/>
      <c r="N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L605" s="1" t="n"/>
      <c r="M605" s="1" t="n"/>
      <c r="N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L606" s="1" t="n"/>
      <c r="M606" s="1" t="n"/>
      <c r="N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L607" s="1" t="n"/>
      <c r="M607" s="1" t="n"/>
      <c r="N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L608" s="1" t="n"/>
      <c r="M608" s="1" t="n"/>
      <c r="N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L609" s="1" t="n"/>
      <c r="M609" s="1" t="n"/>
      <c r="N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L610" s="1" t="n"/>
      <c r="M610" s="1" t="n"/>
      <c r="N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L611" s="1" t="n"/>
      <c r="M611" s="1" t="n"/>
      <c r="N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L612" s="1" t="n"/>
      <c r="M612" s="1" t="n"/>
      <c r="N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L613" s="1" t="n"/>
      <c r="M613" s="1" t="n"/>
      <c r="N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L614" s="1" t="n"/>
      <c r="M614" s="1" t="n"/>
      <c r="N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L615" s="1" t="n"/>
      <c r="M615" s="1" t="n"/>
      <c r="N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L616" s="1" t="n"/>
      <c r="M616" s="1" t="n"/>
      <c r="N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L617" s="1" t="n"/>
      <c r="M617" s="1" t="n"/>
      <c r="N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L618" s="1" t="n"/>
      <c r="M618" s="1" t="n"/>
      <c r="N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L619" s="1" t="n"/>
      <c r="M619" s="1" t="n"/>
      <c r="N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L620" s="1" t="n"/>
      <c r="M620" s="1" t="n"/>
      <c r="N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L621" s="1" t="n"/>
      <c r="M621" s="1" t="n"/>
      <c r="N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L622" s="1" t="n"/>
      <c r="M622" s="1" t="n"/>
      <c r="N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L623" s="1" t="n"/>
      <c r="M623" s="1" t="n"/>
      <c r="N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L624" s="1" t="n"/>
      <c r="M624" s="1" t="n"/>
      <c r="N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L625" s="1" t="n"/>
      <c r="M625" s="1" t="n"/>
      <c r="N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L626" s="1" t="n"/>
      <c r="M626" s="1" t="n"/>
      <c r="N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L627" s="1" t="n"/>
      <c r="M627" s="1" t="n"/>
      <c r="N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L628" s="1" t="n"/>
      <c r="M628" s="1" t="n"/>
      <c r="N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L629" s="1" t="n"/>
      <c r="M629" s="1" t="n"/>
      <c r="N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L630" s="1" t="n"/>
      <c r="M630" s="1" t="n"/>
      <c r="N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L631" s="1" t="n"/>
      <c r="M631" s="1" t="n"/>
      <c r="N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L632" s="1" t="n"/>
      <c r="M632" s="1" t="n"/>
      <c r="N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L633" s="1" t="n"/>
      <c r="M633" s="1" t="n"/>
      <c r="N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L634" s="1" t="n"/>
      <c r="M634" s="1" t="n"/>
      <c r="N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L635" s="1" t="n"/>
      <c r="M635" s="1" t="n"/>
      <c r="N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L636" s="1" t="n"/>
      <c r="M636" s="1" t="n"/>
      <c r="N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L637" s="1" t="n"/>
      <c r="M637" s="1" t="n"/>
      <c r="N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L638" s="1" t="n"/>
      <c r="M638" s="1" t="n"/>
      <c r="N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L639" s="1" t="n"/>
      <c r="M639" s="1" t="n"/>
      <c r="N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L640" s="1" t="n"/>
      <c r="M640" s="1" t="n"/>
      <c r="N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L641" s="1" t="n"/>
      <c r="M641" s="1" t="n"/>
      <c r="N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L642" s="1" t="n"/>
      <c r="M642" s="1" t="n"/>
      <c r="N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L643" s="1" t="n"/>
      <c r="M643" s="1" t="n"/>
      <c r="N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L644" s="1" t="n"/>
      <c r="M644" s="1" t="n"/>
      <c r="N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L645" s="1" t="n"/>
      <c r="M645" s="1" t="n"/>
      <c r="N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L646" s="1" t="n"/>
      <c r="M646" s="1" t="n"/>
      <c r="N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L647" s="1" t="n"/>
      <c r="M647" s="1" t="n"/>
      <c r="N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L648" s="1" t="n"/>
      <c r="M648" s="1" t="n"/>
      <c r="N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L649" s="1" t="n"/>
      <c r="M649" s="1" t="n"/>
      <c r="N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L650" s="1" t="n"/>
      <c r="M650" s="1" t="n"/>
      <c r="N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L651" s="1" t="n"/>
      <c r="M651" s="1" t="n"/>
      <c r="N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L652" s="1" t="n"/>
      <c r="M652" s="1" t="n"/>
      <c r="N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L653" s="1" t="n"/>
      <c r="M653" s="1" t="n"/>
      <c r="N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L654" s="1" t="n"/>
      <c r="M654" s="1" t="n"/>
      <c r="N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L655" s="1" t="n"/>
      <c r="M655" s="1" t="n"/>
      <c r="N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L656" s="1" t="n"/>
      <c r="M656" s="1" t="n"/>
      <c r="N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L657" s="1" t="n"/>
      <c r="M657" s="1" t="n"/>
      <c r="N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L658" s="1" t="n"/>
      <c r="M658" s="1" t="n"/>
      <c r="N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L659" s="1" t="n"/>
      <c r="M659" s="1" t="n"/>
      <c r="N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L660" s="1" t="n"/>
      <c r="M660" s="1" t="n"/>
      <c r="N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L661" s="1" t="n"/>
      <c r="M661" s="1" t="n"/>
      <c r="N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L662" s="1" t="n"/>
      <c r="M662" s="1" t="n"/>
      <c r="N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L663" s="1" t="n"/>
      <c r="M663" s="1" t="n"/>
      <c r="N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L664" s="1" t="n"/>
      <c r="M664" s="1" t="n"/>
      <c r="N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L665" s="1" t="n"/>
      <c r="M665" s="1" t="n"/>
      <c r="N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L666" s="1" t="n"/>
      <c r="M666" s="1" t="n"/>
      <c r="N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L667" s="1" t="n"/>
      <c r="M667" s="1" t="n"/>
      <c r="N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L668" s="1" t="n"/>
      <c r="M668" s="1" t="n"/>
      <c r="N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L669" s="1" t="n"/>
      <c r="M669" s="1" t="n"/>
      <c r="N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L670" s="1" t="n"/>
      <c r="M670" s="1" t="n"/>
      <c r="N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L671" s="1" t="n"/>
      <c r="M671" s="1" t="n"/>
      <c r="N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L672" s="1" t="n"/>
      <c r="M672" s="1" t="n"/>
      <c r="N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L673" s="1" t="n"/>
      <c r="M673" s="1" t="n"/>
      <c r="N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L674" s="1" t="n"/>
      <c r="M674" s="1" t="n"/>
      <c r="N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L675" s="1" t="n"/>
      <c r="M675" s="1" t="n"/>
      <c r="N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L676" s="1" t="n"/>
      <c r="M676" s="1" t="n"/>
      <c r="N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L677" s="1" t="n"/>
      <c r="M677" s="1" t="n"/>
      <c r="N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L678" s="1" t="n"/>
      <c r="M678" s="1" t="n"/>
      <c r="N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L679" s="1" t="n"/>
      <c r="M679" s="1" t="n"/>
      <c r="N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L680" s="1" t="n"/>
      <c r="M680" s="1" t="n"/>
      <c r="N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L681" s="1" t="n"/>
      <c r="M681" s="1" t="n"/>
      <c r="N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L682" s="1" t="n"/>
      <c r="M682" s="1" t="n"/>
      <c r="N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L683" s="1" t="n"/>
      <c r="M683" s="1" t="n"/>
      <c r="N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L684" s="1" t="n"/>
      <c r="M684" s="1" t="n"/>
      <c r="N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L685" s="1" t="n"/>
      <c r="M685" s="1" t="n"/>
      <c r="N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L686" s="1" t="n"/>
      <c r="M686" s="1" t="n"/>
      <c r="N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L687" s="1" t="n"/>
      <c r="M687" s="1" t="n"/>
      <c r="N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L688" s="1" t="n"/>
      <c r="M688" s="1" t="n"/>
      <c r="N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L689" s="1" t="n"/>
      <c r="M689" s="1" t="n"/>
      <c r="N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L690" s="1" t="n"/>
      <c r="M690" s="1" t="n"/>
      <c r="N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L691" s="1" t="n"/>
      <c r="M691" s="1" t="n"/>
      <c r="N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L692" s="1" t="n"/>
      <c r="M692" s="1" t="n"/>
      <c r="N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L693" s="1" t="n"/>
      <c r="M693" s="1" t="n"/>
      <c r="N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L694" s="1" t="n"/>
      <c r="M694" s="1" t="n"/>
      <c r="N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L695" s="1" t="n"/>
      <c r="M695" s="1" t="n"/>
      <c r="N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L696" s="1" t="n"/>
      <c r="M696" s="1" t="n"/>
      <c r="N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L697" s="1" t="n"/>
      <c r="M697" s="1" t="n"/>
      <c r="N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L698" s="1" t="n"/>
      <c r="M698" s="1" t="n"/>
      <c r="N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L699" s="1" t="n"/>
      <c r="M699" s="1" t="n"/>
      <c r="N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L700" s="1" t="n"/>
      <c r="M700" s="1" t="n"/>
      <c r="N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L701" s="1" t="n"/>
      <c r="M701" s="1" t="n"/>
      <c r="N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L702" s="1" t="n"/>
      <c r="M702" s="1" t="n"/>
      <c r="N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L703" s="1" t="n"/>
      <c r="M703" s="1" t="n"/>
      <c r="N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L704" s="1" t="n"/>
      <c r="M704" s="1" t="n"/>
      <c r="N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L705" s="1" t="n"/>
      <c r="M705" s="1" t="n"/>
      <c r="N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L706" s="1" t="n"/>
      <c r="M706" s="1" t="n"/>
      <c r="N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L707" s="1" t="n"/>
      <c r="M707" s="1" t="n"/>
      <c r="N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L708" s="1" t="n"/>
      <c r="M708" s="1" t="n"/>
      <c r="N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L709" s="1" t="n"/>
      <c r="M709" s="1" t="n"/>
      <c r="N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L710" s="1" t="n"/>
      <c r="M710" s="1" t="n"/>
      <c r="N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L711" s="1" t="n"/>
      <c r="M711" s="1" t="n"/>
      <c r="N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L712" s="1" t="n"/>
      <c r="M712" s="1" t="n"/>
      <c r="N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L713" s="1" t="n"/>
      <c r="M713" s="1" t="n"/>
      <c r="N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L714" s="1" t="n"/>
      <c r="M714" s="1" t="n"/>
      <c r="N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L715" s="1" t="n"/>
      <c r="M715" s="1" t="n"/>
      <c r="N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L716" s="1" t="n"/>
      <c r="M716" s="1" t="n"/>
      <c r="N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L717" s="1" t="n"/>
      <c r="M717" s="1" t="n"/>
      <c r="N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L718" s="1" t="n"/>
      <c r="M718" s="1" t="n"/>
      <c r="N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L719" s="1" t="n"/>
      <c r="M719" s="1" t="n"/>
      <c r="N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L720" s="1" t="n"/>
      <c r="M720" s="1" t="n"/>
      <c r="N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L721" s="1" t="n"/>
      <c r="M721" s="1" t="n"/>
      <c r="N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L722" s="1" t="n"/>
      <c r="M722" s="1" t="n"/>
      <c r="N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L723" s="1" t="n"/>
      <c r="M723" s="1" t="n"/>
      <c r="N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L724" s="1" t="n"/>
      <c r="M724" s="1" t="n"/>
      <c r="N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L725" s="1" t="n"/>
      <c r="M725" s="1" t="n"/>
      <c r="N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L726" s="1" t="n"/>
      <c r="M726" s="1" t="n"/>
      <c r="N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L727" s="1" t="n"/>
      <c r="M727" s="1" t="n"/>
      <c r="N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L728" s="1" t="n"/>
      <c r="M728" s="1" t="n"/>
      <c r="N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L729" s="1" t="n"/>
      <c r="M729" s="1" t="n"/>
      <c r="N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L730" s="1" t="n"/>
      <c r="M730" s="1" t="n"/>
      <c r="N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L731" s="1" t="n"/>
      <c r="M731" s="1" t="n"/>
      <c r="N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L732" s="1" t="n"/>
      <c r="M732" s="1" t="n"/>
      <c r="N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L733" s="1" t="n"/>
      <c r="M733" s="1" t="n"/>
      <c r="N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L734" s="1" t="n"/>
      <c r="M734" s="1" t="n"/>
      <c r="N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L735" s="1" t="n"/>
      <c r="M735" s="1" t="n"/>
      <c r="N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L736" s="1" t="n"/>
      <c r="M736" s="1" t="n"/>
      <c r="N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L737" s="1" t="n"/>
      <c r="M737" s="1" t="n"/>
      <c r="N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L738" s="1" t="n"/>
      <c r="M738" s="1" t="n"/>
      <c r="N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L739" s="1" t="n"/>
      <c r="M739" s="1" t="n"/>
      <c r="N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L740" s="1" t="n"/>
      <c r="M740" s="1" t="n"/>
      <c r="N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L741" s="1" t="n"/>
      <c r="M741" s="1" t="n"/>
      <c r="N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L742" s="1" t="n"/>
      <c r="M742" s="1" t="n"/>
      <c r="N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L743" s="1" t="n"/>
      <c r="M743" s="1" t="n"/>
      <c r="N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L744" s="1" t="n"/>
      <c r="M744" s="1" t="n"/>
      <c r="N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L745" s="1" t="n"/>
      <c r="M745" s="1" t="n"/>
      <c r="N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L746" s="1" t="n"/>
      <c r="M746" s="1" t="n"/>
      <c r="N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L747" s="1" t="n"/>
      <c r="M747" s="1" t="n"/>
      <c r="N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L748" s="1" t="n"/>
      <c r="M748" s="1" t="n"/>
      <c r="N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L749" s="1" t="n"/>
      <c r="M749" s="1" t="n"/>
      <c r="N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L750" s="1" t="n"/>
      <c r="M750" s="1" t="n"/>
      <c r="N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L751" s="1" t="n"/>
      <c r="M751" s="1" t="n"/>
      <c r="N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L752" s="1" t="n"/>
      <c r="M752" s="1" t="n"/>
      <c r="N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L753" s="1" t="n"/>
      <c r="M753" s="1" t="n"/>
      <c r="N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L754" s="1" t="n"/>
      <c r="M754" s="1" t="n"/>
      <c r="N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L755" s="1" t="n"/>
      <c r="M755" s="1" t="n"/>
      <c r="N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L756" s="1" t="n"/>
      <c r="M756" s="1" t="n"/>
      <c r="N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L757" s="1" t="n"/>
      <c r="M757" s="1" t="n"/>
      <c r="N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L758" s="1" t="n"/>
      <c r="M758" s="1" t="n"/>
      <c r="N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L759" s="1" t="n"/>
      <c r="M759" s="1" t="n"/>
      <c r="N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L760" s="1" t="n"/>
      <c r="M760" s="1" t="n"/>
      <c r="N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L761" s="1" t="n"/>
      <c r="M761" s="1" t="n"/>
      <c r="N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L762" s="1" t="n"/>
      <c r="M762" s="1" t="n"/>
      <c r="N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L763" s="1" t="n"/>
      <c r="M763" s="1" t="n"/>
      <c r="N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L764" s="1" t="n"/>
      <c r="M764" s="1" t="n"/>
      <c r="N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L765" s="1" t="n"/>
      <c r="M765" s="1" t="n"/>
      <c r="N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L766" s="1" t="n"/>
      <c r="M766" s="1" t="n"/>
      <c r="N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L767" s="1" t="n"/>
      <c r="M767" s="1" t="n"/>
      <c r="N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L768" s="1" t="n"/>
      <c r="M768" s="1" t="n"/>
      <c r="N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L769" s="1" t="n"/>
      <c r="M769" s="1" t="n"/>
      <c r="N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L770" s="1" t="n"/>
      <c r="M770" s="1" t="n"/>
      <c r="N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L771" s="1" t="n"/>
      <c r="M771" s="1" t="n"/>
      <c r="N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L772" s="1" t="n"/>
      <c r="M772" s="1" t="n"/>
      <c r="N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L773" s="1" t="n"/>
      <c r="M773" s="1" t="n"/>
      <c r="N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L774" s="1" t="n"/>
      <c r="M774" s="1" t="n"/>
      <c r="N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L775" s="1" t="n"/>
      <c r="M775" s="1" t="n"/>
      <c r="N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L776" s="1" t="n"/>
      <c r="M776" s="1" t="n"/>
      <c r="N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L777" s="1" t="n"/>
      <c r="M777" s="1" t="n"/>
      <c r="N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L778" s="1" t="n"/>
      <c r="M778" s="1" t="n"/>
      <c r="N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L779" s="1" t="n"/>
      <c r="M779" s="1" t="n"/>
      <c r="N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L780" s="1" t="n"/>
      <c r="M780" s="1" t="n"/>
      <c r="N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L781" s="1" t="n"/>
      <c r="M781" s="1" t="n"/>
      <c r="N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L782" s="1" t="n"/>
      <c r="M782" s="1" t="n"/>
      <c r="N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L783" s="1" t="n"/>
      <c r="M783" s="1" t="n"/>
      <c r="N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L784" s="1" t="n"/>
      <c r="M784" s="1" t="n"/>
      <c r="N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L785" s="1" t="n"/>
      <c r="M785" s="1" t="n"/>
      <c r="N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L786" s="1" t="n"/>
      <c r="M786" s="1" t="n"/>
      <c r="N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L787" s="1" t="n"/>
      <c r="M787" s="1" t="n"/>
      <c r="N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L788" s="1" t="n"/>
      <c r="M788" s="1" t="n"/>
      <c r="N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L789" s="1" t="n"/>
      <c r="M789" s="1" t="n"/>
      <c r="N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L790" s="1" t="n"/>
      <c r="M790" s="1" t="n"/>
      <c r="N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L791" s="1" t="n"/>
      <c r="M791" s="1" t="n"/>
      <c r="N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L792" s="1" t="n"/>
      <c r="M792" s="1" t="n"/>
      <c r="N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L793" s="1" t="n"/>
      <c r="M793" s="1" t="n"/>
      <c r="N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L794" s="1" t="n"/>
      <c r="M794" s="1" t="n"/>
      <c r="N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L795" s="1" t="n"/>
      <c r="M795" s="1" t="n"/>
      <c r="N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L796" s="1" t="n"/>
      <c r="M796" s="1" t="n"/>
      <c r="N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L797" s="1" t="n"/>
      <c r="M797" s="1" t="n"/>
      <c r="N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L798" s="1" t="n"/>
      <c r="M798" s="1" t="n"/>
      <c r="N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L799" s="1" t="n"/>
      <c r="M799" s="1" t="n"/>
      <c r="N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L800" s="1" t="n"/>
      <c r="M800" s="1" t="n"/>
      <c r="N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L801" s="1" t="n"/>
      <c r="M801" s="1" t="n"/>
      <c r="N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L802" s="1" t="n"/>
      <c r="M802" s="1" t="n"/>
      <c r="N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L803" s="1" t="n"/>
      <c r="M803" s="1" t="n"/>
      <c r="N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L804" s="1" t="n"/>
      <c r="M804" s="1" t="n"/>
      <c r="N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L805" s="1" t="n"/>
      <c r="M805" s="1" t="n"/>
      <c r="N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L806" s="1" t="n"/>
      <c r="M806" s="1" t="n"/>
      <c r="N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L807" s="1" t="n"/>
      <c r="M807" s="1" t="n"/>
      <c r="N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L808" s="1" t="n"/>
      <c r="M808" s="1" t="n"/>
      <c r="N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L809" s="1" t="n"/>
      <c r="M809" s="1" t="n"/>
      <c r="N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L810" s="1" t="n"/>
      <c r="M810" s="1" t="n"/>
      <c r="N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L811" s="1" t="n"/>
      <c r="M811" s="1" t="n"/>
      <c r="N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L812" s="1" t="n"/>
      <c r="M812" s="1" t="n"/>
      <c r="N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L813" s="1" t="n"/>
      <c r="M813" s="1" t="n"/>
      <c r="N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L814" s="1" t="n"/>
      <c r="M814" s="1" t="n"/>
      <c r="N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L815" s="1" t="n"/>
      <c r="M815" s="1" t="n"/>
      <c r="N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L816" s="1" t="n"/>
      <c r="M816" s="1" t="n"/>
      <c r="N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L817" s="1" t="n"/>
      <c r="M817" s="1" t="n"/>
      <c r="N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L818" s="1" t="n"/>
      <c r="M818" s="1" t="n"/>
      <c r="N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L819" s="1" t="n"/>
      <c r="M819" s="1" t="n"/>
      <c r="N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L820" s="1" t="n"/>
      <c r="M820" s="1" t="n"/>
      <c r="N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L821" s="1" t="n"/>
      <c r="M821" s="1" t="n"/>
      <c r="N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L822" s="1" t="n"/>
      <c r="M822" s="1" t="n"/>
      <c r="N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L823" s="1" t="n"/>
      <c r="M823" s="1" t="n"/>
      <c r="N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L824" s="1" t="n"/>
      <c r="M824" s="1" t="n"/>
      <c r="N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L825" s="1" t="n"/>
      <c r="M825" s="1" t="n"/>
      <c r="N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L826" s="1" t="n"/>
      <c r="M826" s="1" t="n"/>
      <c r="N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L827" s="1" t="n"/>
      <c r="M827" s="1" t="n"/>
      <c r="N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L828" s="1" t="n"/>
      <c r="M828" s="1" t="n"/>
      <c r="N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L829" s="1" t="n"/>
      <c r="M829" s="1" t="n"/>
      <c r="N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L830" s="1" t="n"/>
      <c r="M830" s="1" t="n"/>
      <c r="N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L831" s="1" t="n"/>
      <c r="M831" s="1" t="n"/>
      <c r="N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L832" s="1" t="n"/>
      <c r="M832" s="1" t="n"/>
      <c r="N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L833" s="1" t="n"/>
      <c r="M833" s="1" t="n"/>
      <c r="N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L834" s="1" t="n"/>
      <c r="M834" s="1" t="n"/>
      <c r="N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L835" s="1" t="n"/>
      <c r="M835" s="1" t="n"/>
      <c r="N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L836" s="1" t="n"/>
      <c r="M836" s="1" t="n"/>
      <c r="N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L837" s="1" t="n"/>
      <c r="M837" s="1" t="n"/>
      <c r="N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L838" s="1" t="n"/>
      <c r="M838" s="1" t="n"/>
      <c r="N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L839" s="1" t="n"/>
      <c r="M839" s="1" t="n"/>
      <c r="N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L840" s="1" t="n"/>
      <c r="M840" s="1" t="n"/>
      <c r="N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L841" s="1" t="n"/>
      <c r="M841" s="1" t="n"/>
      <c r="N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L842" s="1" t="n"/>
      <c r="M842" s="1" t="n"/>
      <c r="N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L843" s="1" t="n"/>
      <c r="M843" s="1" t="n"/>
      <c r="N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L844" s="1" t="n"/>
      <c r="M844" s="1" t="n"/>
      <c r="N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L845" s="1" t="n"/>
      <c r="M845" s="1" t="n"/>
      <c r="N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L846" s="1" t="n"/>
      <c r="M846" s="1" t="n"/>
      <c r="N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L847" s="1" t="n"/>
      <c r="M847" s="1" t="n"/>
      <c r="N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L848" s="1" t="n"/>
      <c r="M848" s="1" t="n"/>
      <c r="N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L849" s="1" t="n"/>
      <c r="M849" s="1" t="n"/>
      <c r="N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L850" s="1" t="n"/>
      <c r="M850" s="1" t="n"/>
      <c r="N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L851" s="1" t="n"/>
      <c r="M851" s="1" t="n"/>
      <c r="N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L852" s="1" t="n"/>
      <c r="M852" s="1" t="n"/>
      <c r="N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L853" s="1" t="n"/>
      <c r="M853" s="1" t="n"/>
      <c r="N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L854" s="1" t="n"/>
      <c r="M854" s="1" t="n"/>
      <c r="N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L855" s="1" t="n"/>
      <c r="M855" s="1" t="n"/>
      <c r="N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L856" s="1" t="n"/>
      <c r="M856" s="1" t="n"/>
      <c r="N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L857" s="1" t="n"/>
      <c r="M857" s="1" t="n"/>
      <c r="N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L858" s="1" t="n"/>
      <c r="M858" s="1" t="n"/>
      <c r="N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L859" s="1" t="n"/>
      <c r="M859" s="1" t="n"/>
      <c r="N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L860" s="1" t="n"/>
      <c r="M860" s="1" t="n"/>
      <c r="N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L861" s="1" t="n"/>
      <c r="M861" s="1" t="n"/>
      <c r="N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L862" s="1" t="n"/>
      <c r="M862" s="1" t="n"/>
      <c r="N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L863" s="1" t="n"/>
      <c r="M863" s="1" t="n"/>
      <c r="N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L864" s="1" t="n"/>
      <c r="M864" s="1" t="n"/>
      <c r="N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L865" s="1" t="n"/>
      <c r="M865" s="1" t="n"/>
      <c r="N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L866" s="1" t="n"/>
      <c r="M866" s="1" t="n"/>
      <c r="N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L867" s="1" t="n"/>
      <c r="M867" s="1" t="n"/>
      <c r="N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L868" s="1" t="n"/>
      <c r="M868" s="1" t="n"/>
      <c r="N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L869" s="1" t="n"/>
      <c r="M869" s="1" t="n"/>
      <c r="N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L870" s="1" t="n"/>
      <c r="M870" s="1" t="n"/>
      <c r="N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L871" s="1" t="n"/>
      <c r="M871" s="1" t="n"/>
      <c r="N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L872" s="1" t="n"/>
      <c r="M872" s="1" t="n"/>
      <c r="N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L873" s="1" t="n"/>
      <c r="M873" s="1" t="n"/>
      <c r="N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L874" s="1" t="n"/>
      <c r="M874" s="1" t="n"/>
      <c r="N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L875" s="1" t="n"/>
      <c r="M875" s="1" t="n"/>
      <c r="N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L876" s="1" t="n"/>
      <c r="M876" s="1" t="n"/>
      <c r="N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L877" s="1" t="n"/>
      <c r="M877" s="1" t="n"/>
      <c r="N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L878" s="1" t="n"/>
      <c r="M878" s="1" t="n"/>
      <c r="N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L879" s="1" t="n"/>
      <c r="M879" s="1" t="n"/>
      <c r="N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L880" s="1" t="n"/>
      <c r="M880" s="1" t="n"/>
      <c r="N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L881" s="1" t="n"/>
      <c r="M881" s="1" t="n"/>
      <c r="N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L882" s="1" t="n"/>
      <c r="M882" s="1" t="n"/>
      <c r="N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L883" s="1" t="n"/>
      <c r="M883" s="1" t="n"/>
      <c r="N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L884" s="1" t="n"/>
      <c r="M884" s="1" t="n"/>
      <c r="N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L885" s="1" t="n"/>
      <c r="M885" s="1" t="n"/>
      <c r="N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L886" s="1" t="n"/>
      <c r="M886" s="1" t="n"/>
      <c r="N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L887" s="1" t="n"/>
      <c r="M887" s="1" t="n"/>
      <c r="N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L888" s="1" t="n"/>
      <c r="M888" s="1" t="n"/>
      <c r="N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L889" s="1" t="n"/>
      <c r="M889" s="1" t="n"/>
      <c r="N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L890" s="1" t="n"/>
      <c r="M890" s="1" t="n"/>
      <c r="N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L891" s="1" t="n"/>
      <c r="M891" s="1" t="n"/>
      <c r="N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L892" s="1" t="n"/>
      <c r="M892" s="1" t="n"/>
      <c r="N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L893" s="1" t="n"/>
      <c r="M893" s="1" t="n"/>
      <c r="N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L894" s="1" t="n"/>
      <c r="M894" s="1" t="n"/>
      <c r="N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L895" s="1" t="n"/>
      <c r="M895" s="1" t="n"/>
      <c r="N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L896" s="1" t="n"/>
      <c r="M896" s="1" t="n"/>
      <c r="N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L897" s="1" t="n"/>
      <c r="M897" s="1" t="n"/>
      <c r="N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L898" s="1" t="n"/>
      <c r="M898" s="1" t="n"/>
      <c r="N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L899" s="1" t="n"/>
      <c r="M899" s="1" t="n"/>
      <c r="N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L900" s="1" t="n"/>
      <c r="M900" s="1" t="n"/>
      <c r="N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L901" s="1" t="n"/>
      <c r="M901" s="1" t="n"/>
      <c r="N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L902" s="1" t="n"/>
      <c r="M902" s="1" t="n"/>
      <c r="N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L903" s="1" t="n"/>
      <c r="M903" s="1" t="n"/>
      <c r="N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L904" s="1" t="n"/>
      <c r="M904" s="1" t="n"/>
      <c r="N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L905" s="1" t="n"/>
      <c r="M905" s="1" t="n"/>
      <c r="N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L906" s="1" t="n"/>
      <c r="M906" s="1" t="n"/>
      <c r="N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L907" s="1" t="n"/>
      <c r="M907" s="1" t="n"/>
      <c r="N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L908" s="1" t="n"/>
      <c r="M908" s="1" t="n"/>
      <c r="N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L909" s="1" t="n"/>
      <c r="M909" s="1" t="n"/>
      <c r="N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L910" s="1" t="n"/>
      <c r="M910" s="1" t="n"/>
      <c r="N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L911" s="1" t="n"/>
      <c r="M911" s="1" t="n"/>
      <c r="N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L912" s="1" t="n"/>
      <c r="M912" s="1" t="n"/>
      <c r="N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L913" s="1" t="n"/>
      <c r="M913" s="1" t="n"/>
      <c r="N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L914" s="1" t="n"/>
      <c r="M914" s="1" t="n"/>
      <c r="N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L915" s="1" t="n"/>
      <c r="M915" s="1" t="n"/>
      <c r="N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L916" s="1" t="n"/>
      <c r="M916" s="1" t="n"/>
      <c r="N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L917" s="1" t="n"/>
      <c r="M917" s="1" t="n"/>
      <c r="N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L918" s="1" t="n"/>
      <c r="M918" s="1" t="n"/>
      <c r="N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L919" s="1" t="n"/>
      <c r="M919" s="1" t="n"/>
      <c r="N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L920" s="1" t="n"/>
      <c r="M920" s="1" t="n"/>
      <c r="N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L921" s="1" t="n"/>
      <c r="M921" s="1" t="n"/>
      <c r="N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L922" s="1" t="n"/>
      <c r="M922" s="1" t="n"/>
      <c r="N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L923" s="1" t="n"/>
      <c r="M923" s="1" t="n"/>
      <c r="N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L924" s="1" t="n"/>
      <c r="M924" s="1" t="n"/>
      <c r="N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L925" s="1" t="n"/>
      <c r="M925" s="1" t="n"/>
      <c r="N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L926" s="1" t="n"/>
      <c r="M926" s="1" t="n"/>
      <c r="N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L927" s="1" t="n"/>
      <c r="M927" s="1" t="n"/>
      <c r="N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L928" s="1" t="n"/>
      <c r="M928" s="1" t="n"/>
      <c r="N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L929" s="1" t="n"/>
      <c r="M929" s="1" t="n"/>
      <c r="N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L930" s="1" t="n"/>
      <c r="M930" s="1" t="n"/>
      <c r="N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L931" s="1" t="n"/>
      <c r="M931" s="1" t="n"/>
      <c r="N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L932" s="1" t="n"/>
      <c r="M932" s="1" t="n"/>
      <c r="N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L933" s="1" t="n"/>
      <c r="M933" s="1" t="n"/>
      <c r="N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L934" s="1" t="n"/>
      <c r="M934" s="1" t="n"/>
      <c r="N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L935" s="1" t="n"/>
      <c r="M935" s="1" t="n"/>
      <c r="N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L936" s="1" t="n"/>
      <c r="M936" s="1" t="n"/>
      <c r="N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L937" s="1" t="n"/>
      <c r="M937" s="1" t="n"/>
      <c r="N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L938" s="1" t="n"/>
      <c r="M938" s="1" t="n"/>
      <c r="N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L939" s="1" t="n"/>
      <c r="M939" s="1" t="n"/>
      <c r="N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L940" s="1" t="n"/>
      <c r="M940" s="1" t="n"/>
      <c r="N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L941" s="1" t="n"/>
      <c r="M941" s="1" t="n"/>
      <c r="N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L942" s="1" t="n"/>
      <c r="M942" s="1" t="n"/>
      <c r="N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L943" s="1" t="n"/>
      <c r="M943" s="1" t="n"/>
      <c r="N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L944" s="1" t="n"/>
      <c r="M944" s="1" t="n"/>
      <c r="N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L945" s="1" t="n"/>
      <c r="M945" s="1" t="n"/>
      <c r="N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L946" s="1" t="n"/>
      <c r="M946" s="1" t="n"/>
      <c r="N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L947" s="1" t="n"/>
      <c r="M947" s="1" t="n"/>
      <c r="N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L948" s="1" t="n"/>
      <c r="M948" s="1" t="n"/>
      <c r="N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L949" s="1" t="n"/>
      <c r="M949" s="1" t="n"/>
      <c r="N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L950" s="1" t="n"/>
      <c r="M950" s="1" t="n"/>
      <c r="N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L951" s="1" t="n"/>
      <c r="M951" s="1" t="n"/>
      <c r="N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L952" s="1" t="n"/>
      <c r="M952" s="1" t="n"/>
      <c r="N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L953" s="1" t="n"/>
      <c r="M953" s="1" t="n"/>
      <c r="N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L954" s="1" t="n"/>
      <c r="M954" s="1" t="n"/>
      <c r="N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L955" s="1" t="n"/>
      <c r="M955" s="1" t="n"/>
      <c r="N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L956" s="1" t="n"/>
      <c r="M956" s="1" t="n"/>
      <c r="N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L957" s="1" t="n"/>
      <c r="M957" s="1" t="n"/>
      <c r="N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L958" s="1" t="n"/>
      <c r="M958" s="1" t="n"/>
      <c r="N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L959" s="1" t="n"/>
      <c r="M959" s="1" t="n"/>
      <c r="N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L960" s="1" t="n"/>
      <c r="M960" s="1" t="n"/>
      <c r="N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L961" s="1" t="n"/>
      <c r="M961" s="1" t="n"/>
      <c r="N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L962" s="1" t="n"/>
      <c r="M962" s="1" t="n"/>
      <c r="N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L963" s="1" t="n"/>
      <c r="M963" s="1" t="n"/>
      <c r="N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L964" s="1" t="n"/>
      <c r="M964" s="1" t="n"/>
      <c r="N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L965" s="1" t="n"/>
      <c r="M965" s="1" t="n"/>
      <c r="N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L966" s="1" t="n"/>
      <c r="M966" s="1" t="n"/>
      <c r="N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L967" s="1" t="n"/>
      <c r="M967" s="1" t="n"/>
      <c r="N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L968" s="1" t="n"/>
      <c r="M968" s="1" t="n"/>
      <c r="N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L969" s="1" t="n"/>
      <c r="M969" s="1" t="n"/>
      <c r="N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L970" s="1" t="n"/>
      <c r="M970" s="1" t="n"/>
      <c r="N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L971" s="1" t="n"/>
      <c r="M971" s="1" t="n"/>
      <c r="N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L972" s="1" t="n"/>
      <c r="M972" s="1" t="n"/>
      <c r="N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L973" s="1" t="n"/>
      <c r="M973" s="1" t="n"/>
      <c r="N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L974" s="1" t="n"/>
      <c r="M974" s="1" t="n"/>
      <c r="N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L975" s="1" t="n"/>
      <c r="M975" s="1" t="n"/>
      <c r="N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L976" s="1" t="n"/>
      <c r="M976" s="1" t="n"/>
      <c r="N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L977" s="1" t="n"/>
      <c r="M977" s="1" t="n"/>
      <c r="N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L978" s="1" t="n"/>
      <c r="M978" s="1" t="n"/>
      <c r="N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L979" s="1" t="n"/>
      <c r="M979" s="1" t="n"/>
      <c r="N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L980" s="1" t="n"/>
      <c r="M980" s="1" t="n"/>
      <c r="N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L981" s="1" t="n"/>
      <c r="M981" s="1" t="n"/>
      <c r="N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L982" s="1" t="n"/>
      <c r="M982" s="1" t="n"/>
      <c r="N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L983" s="1" t="n"/>
      <c r="M983" s="1" t="n"/>
      <c r="N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L984" s="1" t="n"/>
      <c r="M984" s="1" t="n"/>
      <c r="N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L985" s="1" t="n"/>
      <c r="M985" s="1" t="n"/>
      <c r="N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L986" s="1" t="n"/>
      <c r="M986" s="1" t="n"/>
      <c r="N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L987" s="1" t="n"/>
      <c r="M987" s="1" t="n"/>
      <c r="N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L988" s="1" t="n"/>
      <c r="M988" s="1" t="n"/>
      <c r="N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L989" s="1" t="n"/>
      <c r="M989" s="1" t="n"/>
      <c r="N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L990" s="1" t="n"/>
      <c r="M990" s="1" t="n"/>
      <c r="N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L991" s="1" t="n"/>
      <c r="M991" s="1" t="n"/>
      <c r="N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L992" s="1" t="n"/>
      <c r="M992" s="1" t="n"/>
      <c r="N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L993" s="1" t="n"/>
      <c r="M993" s="1" t="n"/>
      <c r="N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L994" s="1" t="n"/>
      <c r="M994" s="1" t="n"/>
      <c r="N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L995" s="1" t="n"/>
      <c r="M995" s="1" t="n"/>
      <c r="N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L996" s="1" t="n"/>
      <c r="M996" s="1" t="n"/>
      <c r="N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L997" s="1" t="n"/>
      <c r="M997" s="1" t="n"/>
      <c r="N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L998" s="1" t="n"/>
      <c r="M998" s="1" t="n"/>
      <c r="N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L999" s="1" t="n"/>
      <c r="M999" s="1" t="n"/>
      <c r="N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L1000" s="1" t="n"/>
      <c r="M1000" s="1" t="n"/>
      <c r="N1000" s="1" t="n"/>
    </row>
  </sheetData>
  <hyperlinks>
    <hyperlink xmlns:r="http://schemas.openxmlformats.org/officeDocument/2006/relationships" ref="M37" r:id="rId1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2.29" customWidth="1" style="177" min="1" max="1"/>
    <col width="43.57" customWidth="1" style="177" min="2" max="2"/>
    <col width="27.86" customWidth="1" style="177" min="3" max="3"/>
    <col width="22" customWidth="1" style="177" min="4" max="4"/>
    <col width="12.43" customWidth="1" style="177" min="5" max="5"/>
    <col width="8.710000000000001" customWidth="1" style="177" min="6" max="7"/>
    <col width="30" customWidth="1" style="177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4" t="inlineStr">
        <is>
          <t>TOTAL DE HORAS A CUBRIR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6" t="n">
        <v>20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5.5" customHeight="1" s="177">
      <c r="A3" s="1" t="n"/>
      <c r="B3" s="9" t="inlineStr">
        <is>
          <t>NOMBRE</t>
        </is>
      </c>
      <c r="C3" s="9" t="inlineStr">
        <is>
          <t>HORAS CONTABILIZADAS</t>
        </is>
      </c>
      <c r="D3" s="9" t="inlineStr">
        <is>
          <t>HORAS RESTANTES</t>
        </is>
      </c>
      <c r="E3" s="9" t="inlineStr">
        <is>
          <t>AVANCE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3" t="inlineStr">
        <is>
          <t>ALEJANDRO RAMOS MAYEN</t>
        </is>
      </c>
      <c r="C4" s="19">
        <f>'ALEJANDRO R.M'!R1</f>
        <v/>
      </c>
      <c r="D4" s="19">
        <f>$H$2-C4</f>
        <v/>
      </c>
      <c r="E4" s="27">
        <f>C4/$H$2</f>
        <v/>
      </c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3" t="inlineStr">
        <is>
          <t>CESAR YAIR ESPINOSA MARTINEZ</t>
        </is>
      </c>
      <c r="C5" s="19">
        <f>'CESAR Y.E.M'!R1</f>
        <v/>
      </c>
      <c r="D5" s="19">
        <f>$H$2-C5</f>
        <v/>
      </c>
      <c r="E5" s="27">
        <f>C5/$H$2</f>
        <v/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3" t="inlineStr">
        <is>
          <t>CHRISTIAN GONZÁLEZ GUTIÉRREZ</t>
        </is>
      </c>
      <c r="C6" s="19">
        <f>'CHRISTIAN G.G'!R1</f>
        <v/>
      </c>
      <c r="D6" s="19">
        <f>$H$2-C6</f>
        <v/>
      </c>
      <c r="E6" s="27">
        <f>C6/$H$2</f>
        <v/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3" t="inlineStr">
        <is>
          <t>FÁTIMA PACHECO ZACARÍAS</t>
        </is>
      </c>
      <c r="C7" s="19">
        <f>'FÁTIMA P.Z'!R1</f>
        <v/>
      </c>
      <c r="D7" s="19">
        <f>$H$2-C7</f>
        <v/>
      </c>
      <c r="E7" s="27">
        <f>C7/$H$2</f>
        <v/>
      </c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3" t="inlineStr">
        <is>
          <t>FERNANDO JAVIER RAMIREZ GARCIA</t>
        </is>
      </c>
      <c r="C8" s="19">
        <f>'FERNANDO J.R.G'!R1</f>
        <v/>
      </c>
      <c r="D8" s="19">
        <f>$H$2-C8</f>
        <v/>
      </c>
      <c r="E8" s="27">
        <f>C8/$H$2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idden="1" s="177">
      <c r="A9" s="1" t="n"/>
      <c r="B9" s="13" t="inlineStr">
        <is>
          <t>JAVIER GUERRERO SALAS</t>
        </is>
      </c>
      <c r="C9" s="19">
        <f>'JAVIER G.S'!R1</f>
        <v/>
      </c>
      <c r="D9" s="19">
        <f>$H$2-C9</f>
        <v/>
      </c>
      <c r="E9" s="27">
        <f>C9/$H$2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3" t="inlineStr">
        <is>
          <t>KARLA YAMILET AGUILAR RAMÍREZ</t>
        </is>
      </c>
      <c r="C10" s="19">
        <f>'KARLA Y.A.R'!R1</f>
        <v/>
      </c>
      <c r="D10" s="19">
        <f>$H$2-C10</f>
        <v/>
      </c>
      <c r="E10" s="27">
        <f>C10/$H$2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3" t="inlineStr">
        <is>
          <t>KATHERINE MENDEZ MARQUEZ</t>
        </is>
      </c>
      <c r="C11" s="19">
        <f>'KATHERINE M.M'!R1</f>
        <v/>
      </c>
      <c r="D11" s="19">
        <f>$H$2-C11</f>
        <v/>
      </c>
      <c r="E11" s="27">
        <f>C11/$H$2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3" t="inlineStr">
        <is>
          <t>LUDWING PINEDA CUEVAS</t>
        </is>
      </c>
      <c r="C12" s="19">
        <f>'LUDWING P.C'!R1</f>
        <v/>
      </c>
      <c r="D12" s="19">
        <f>$H$2-C12</f>
        <v/>
      </c>
      <c r="E12" s="27">
        <f>C12/$H$2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3" t="inlineStr">
        <is>
          <t>LUIS FERNANDO CASTILLO GARCÍA</t>
        </is>
      </c>
      <c r="C13" s="19">
        <f>'LUIS F.C.G'!R1</f>
        <v/>
      </c>
      <c r="D13" s="19">
        <f>$H$2-C13</f>
        <v/>
      </c>
      <c r="E13" s="27">
        <f>C13/$H$2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3" t="inlineStr">
        <is>
          <t>MARIA NATALIA CABRERA MONJARAS</t>
        </is>
      </c>
      <c r="C14" s="71">
        <f>'MARIA N.C.M'!R1</f>
        <v/>
      </c>
      <c r="D14" s="19">
        <f>$H$2-C14</f>
        <v/>
      </c>
      <c r="E14" s="27">
        <f>C14/$H$2</f>
        <v/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3" t="inlineStr">
        <is>
          <t>MISAEL RIVERA LÓPEZ</t>
        </is>
      </c>
      <c r="C15" s="19">
        <f>'MISAEL R.L'!R1</f>
        <v/>
      </c>
      <c r="D15" s="19">
        <f>$H$2-C15</f>
        <v/>
      </c>
      <c r="E15" s="27">
        <f>C15/$H$2</f>
        <v/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3" t="inlineStr">
        <is>
          <t>RAFAEL EDUARDO LAGUNAS GÓMEZ</t>
        </is>
      </c>
      <c r="C16" s="71">
        <f>'RAFAEL E.L.G'!R1</f>
        <v/>
      </c>
      <c r="D16" s="19">
        <f>$H$2-C16</f>
        <v/>
      </c>
      <c r="E16" s="27">
        <f>C16/$H$2</f>
        <v/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3" t="inlineStr">
        <is>
          <t>CARLOS CRISTOPHER TERRAZAS MARTINEZ</t>
        </is>
      </c>
      <c r="C17" s="71">
        <f>'CARLOS C.T.M'!R1</f>
        <v/>
      </c>
      <c r="D17" s="19">
        <f>$H$2-C17</f>
        <v/>
      </c>
      <c r="E17" s="27">
        <f>C17/$H$2</f>
        <v/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75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17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1" t="n"/>
      <c r="B221" s="1" t="n"/>
      <c r="C221" s="1" t="n"/>
      <c r="D221" s="1" t="n"/>
      <c r="E221" s="1" t="n"/>
      <c r="F221" s="1" t="n"/>
      <c r="G221" s="1" t="n"/>
      <c r="H221" s="1" t="n"/>
    </row>
    <row r="222" ht="15.75" customHeight="1" s="177">
      <c r="A222" s="1" t="n"/>
      <c r="B222" s="1" t="n"/>
      <c r="C222" s="1" t="n"/>
      <c r="D222" s="1" t="n"/>
      <c r="E222" s="1" t="n"/>
      <c r="F222" s="1" t="n"/>
      <c r="G222" s="1" t="n"/>
      <c r="H222" s="1" t="n"/>
    </row>
    <row r="223" ht="15.75" customHeight="1" s="177">
      <c r="A223" s="1" t="n"/>
      <c r="B223" s="1" t="n"/>
      <c r="C223" s="1" t="n"/>
      <c r="D223" s="1" t="n"/>
      <c r="E223" s="1" t="n"/>
      <c r="F223" s="1" t="n"/>
      <c r="G223" s="1" t="n"/>
      <c r="H223" s="1" t="n"/>
    </row>
    <row r="224" ht="15.75" customHeight="1" s="177">
      <c r="A224" s="1" t="n"/>
      <c r="B224" s="1" t="n"/>
      <c r="C224" s="1" t="n"/>
      <c r="D224" s="1" t="n"/>
      <c r="E224" s="1" t="n"/>
      <c r="F224" s="1" t="n"/>
      <c r="G224" s="1" t="n"/>
      <c r="H224" s="1" t="n"/>
    </row>
    <row r="225" ht="15.75" customHeight="1" s="177">
      <c r="A225" s="1" t="n"/>
      <c r="B225" s="1" t="n"/>
      <c r="C225" s="1" t="n"/>
      <c r="D225" s="1" t="n"/>
      <c r="E225" s="1" t="n"/>
      <c r="F225" s="1" t="n"/>
      <c r="G225" s="1" t="n"/>
      <c r="H225" s="1" t="n"/>
    </row>
    <row r="226" ht="15.75" customHeight="1" s="177">
      <c r="A226" s="1" t="n"/>
      <c r="B226" s="1" t="n"/>
      <c r="C226" s="1" t="n"/>
      <c r="D226" s="1" t="n"/>
      <c r="E226" s="1" t="n"/>
      <c r="F226" s="1" t="n"/>
      <c r="G226" s="1" t="n"/>
      <c r="H226" s="1" t="n"/>
    </row>
    <row r="227" ht="15.75" customHeight="1" s="177">
      <c r="A227" s="1" t="n"/>
      <c r="B227" s="1" t="n"/>
      <c r="C227" s="1" t="n"/>
      <c r="D227" s="1" t="n"/>
      <c r="E227" s="1" t="n"/>
      <c r="F227" s="1" t="n"/>
      <c r="G227" s="1" t="n"/>
      <c r="H227" s="1" t="n"/>
    </row>
    <row r="228" ht="15.75" customHeight="1" s="177">
      <c r="A228" s="1" t="n"/>
      <c r="B228" s="1" t="n"/>
      <c r="C228" s="1" t="n"/>
      <c r="D228" s="1" t="n"/>
      <c r="E228" s="1" t="n"/>
      <c r="F228" s="1" t="n"/>
      <c r="G228" s="1" t="n"/>
      <c r="H228" s="1" t="n"/>
    </row>
    <row r="229" ht="15.75" customHeight="1" s="177">
      <c r="A229" s="1" t="n"/>
      <c r="B229" s="1" t="n"/>
      <c r="C229" s="1" t="n"/>
      <c r="D229" s="1" t="n"/>
      <c r="E229" s="1" t="n"/>
      <c r="F229" s="1" t="n"/>
      <c r="G229" s="1" t="n"/>
      <c r="H229" s="1" t="n"/>
    </row>
    <row r="230" ht="15.75" customHeight="1" s="177">
      <c r="A230" s="1" t="n"/>
      <c r="B230" s="1" t="n"/>
      <c r="C230" s="1" t="n"/>
      <c r="D230" s="1" t="n"/>
      <c r="E230" s="1" t="n"/>
      <c r="F230" s="1" t="n"/>
      <c r="G230" s="1" t="n"/>
      <c r="H230" s="1" t="n"/>
    </row>
    <row r="231" ht="15.75" customHeight="1" s="177">
      <c r="A231" s="1" t="n"/>
      <c r="B231" s="1" t="n"/>
      <c r="C231" s="1" t="n"/>
      <c r="D231" s="1" t="n"/>
      <c r="E231" s="1" t="n"/>
      <c r="F231" s="1" t="n"/>
      <c r="G231" s="1" t="n"/>
      <c r="H231" s="1" t="n"/>
    </row>
    <row r="232" ht="15.75" customHeight="1" s="177">
      <c r="A232" s="1" t="n"/>
      <c r="B232" s="1" t="n"/>
      <c r="C232" s="1" t="n"/>
      <c r="D232" s="1" t="n"/>
      <c r="E232" s="1" t="n"/>
      <c r="F232" s="1" t="n"/>
      <c r="G232" s="1" t="n"/>
      <c r="H232" s="1" t="n"/>
    </row>
    <row r="233" ht="15.75" customHeight="1" s="177">
      <c r="A233" s="1" t="n"/>
      <c r="B233" s="1" t="n"/>
      <c r="C233" s="1" t="n"/>
      <c r="D233" s="1" t="n"/>
      <c r="E233" s="1" t="n"/>
      <c r="F233" s="1" t="n"/>
      <c r="G233" s="1" t="n"/>
      <c r="H233" s="1" t="n"/>
    </row>
    <row r="234" ht="15.75" customHeight="1" s="177">
      <c r="A234" s="1" t="n"/>
      <c r="B234" s="1" t="n"/>
      <c r="C234" s="1" t="n"/>
      <c r="D234" s="1" t="n"/>
      <c r="E234" s="1" t="n"/>
      <c r="F234" s="1" t="n"/>
      <c r="G234" s="1" t="n"/>
      <c r="H234" s="1" t="n"/>
    </row>
    <row r="235" ht="15.75" customHeight="1" s="177">
      <c r="A235" s="1" t="n"/>
      <c r="B235" s="1" t="n"/>
      <c r="C235" s="1" t="n"/>
      <c r="D235" s="1" t="n"/>
      <c r="E235" s="1" t="n"/>
      <c r="F235" s="1" t="n"/>
      <c r="G235" s="1" t="n"/>
      <c r="H235" s="1" t="n"/>
    </row>
    <row r="236" ht="15.75" customHeight="1" s="177">
      <c r="A236" s="1" t="n"/>
      <c r="B236" s="1" t="n"/>
      <c r="C236" s="1" t="n"/>
      <c r="D236" s="1" t="n"/>
      <c r="E236" s="1" t="n"/>
      <c r="F236" s="1" t="n"/>
      <c r="G236" s="1" t="n"/>
      <c r="H236" s="1" t="n"/>
    </row>
    <row r="237" ht="15.75" customHeight="1" s="177">
      <c r="A237" s="1" t="n"/>
      <c r="B237" s="1" t="n"/>
      <c r="C237" s="1" t="n"/>
      <c r="D237" s="1" t="n"/>
      <c r="E237" s="1" t="n"/>
      <c r="F237" s="1" t="n"/>
      <c r="G237" s="1" t="n"/>
      <c r="H237" s="1" t="n"/>
    </row>
    <row r="238" ht="15.75" customHeight="1" s="177">
      <c r="A238" s="1" t="n"/>
      <c r="B238" s="1" t="n"/>
      <c r="C238" s="1" t="n"/>
      <c r="D238" s="1" t="n"/>
      <c r="E238" s="1" t="n"/>
      <c r="F238" s="1" t="n"/>
      <c r="G238" s="1" t="n"/>
      <c r="H238" s="1" t="n"/>
    </row>
    <row r="239" ht="15.75" customHeight="1" s="177">
      <c r="A239" s="1" t="n"/>
      <c r="B239" s="1" t="n"/>
      <c r="C239" s="1" t="n"/>
      <c r="D239" s="1" t="n"/>
      <c r="E239" s="1" t="n"/>
      <c r="F239" s="1" t="n"/>
      <c r="G239" s="1" t="n"/>
      <c r="H239" s="1" t="n"/>
    </row>
    <row r="240" ht="15.75" customHeight="1" s="177">
      <c r="A240" s="1" t="n"/>
      <c r="B240" s="1" t="n"/>
      <c r="C240" s="1" t="n"/>
      <c r="D240" s="1" t="n"/>
      <c r="E240" s="1" t="n"/>
      <c r="F240" s="1" t="n"/>
      <c r="G240" s="1" t="n"/>
      <c r="H240" s="1" t="n"/>
    </row>
    <row r="241" ht="15.75" customHeight="1" s="177">
      <c r="A241" s="1" t="n"/>
      <c r="B241" s="1" t="n"/>
      <c r="C241" s="1" t="n"/>
      <c r="D241" s="1" t="n"/>
      <c r="E241" s="1" t="n"/>
      <c r="F241" s="1" t="n"/>
      <c r="G241" s="1" t="n"/>
      <c r="H241" s="1" t="n"/>
    </row>
    <row r="242" ht="15.75" customHeight="1" s="177">
      <c r="A242" s="1" t="n"/>
      <c r="B242" s="1" t="n"/>
      <c r="C242" s="1" t="n"/>
      <c r="D242" s="1" t="n"/>
      <c r="E242" s="1" t="n"/>
      <c r="F242" s="1" t="n"/>
      <c r="G242" s="1" t="n"/>
      <c r="H242" s="1" t="n"/>
    </row>
    <row r="243" ht="15.75" customHeight="1" s="177">
      <c r="A243" s="1" t="n"/>
      <c r="B243" s="1" t="n"/>
      <c r="C243" s="1" t="n"/>
      <c r="D243" s="1" t="n"/>
      <c r="E243" s="1" t="n"/>
      <c r="F243" s="1" t="n"/>
      <c r="G243" s="1" t="n"/>
      <c r="H243" s="1" t="n"/>
    </row>
    <row r="244" ht="15.75" customHeight="1" s="177">
      <c r="A244" s="1" t="n"/>
      <c r="B244" s="1" t="n"/>
      <c r="C244" s="1" t="n"/>
      <c r="D244" s="1" t="n"/>
      <c r="E244" s="1" t="n"/>
      <c r="F244" s="1" t="n"/>
      <c r="G244" s="1" t="n"/>
      <c r="H244" s="1" t="n"/>
    </row>
    <row r="245" ht="15.75" customHeight="1" s="177">
      <c r="A245" s="1" t="n"/>
      <c r="B245" s="1" t="n"/>
      <c r="C245" s="1" t="n"/>
      <c r="D245" s="1" t="n"/>
      <c r="E245" s="1" t="n"/>
      <c r="F245" s="1" t="n"/>
      <c r="G245" s="1" t="n"/>
      <c r="H245" s="1" t="n"/>
    </row>
    <row r="246" ht="15.75" customHeight="1" s="177">
      <c r="A246" s="1" t="n"/>
      <c r="B246" s="1" t="n"/>
      <c r="C246" s="1" t="n"/>
      <c r="D246" s="1" t="n"/>
      <c r="E246" s="1" t="n"/>
      <c r="F246" s="1" t="n"/>
      <c r="G246" s="1" t="n"/>
      <c r="H246" s="1" t="n"/>
    </row>
    <row r="247" ht="15.75" customHeight="1" s="177">
      <c r="A247" s="1" t="n"/>
      <c r="B247" s="1" t="n"/>
      <c r="C247" s="1" t="n"/>
      <c r="D247" s="1" t="n"/>
      <c r="E247" s="1" t="n"/>
      <c r="F247" s="1" t="n"/>
      <c r="G247" s="1" t="n"/>
      <c r="H247" s="1" t="n"/>
    </row>
    <row r="248" ht="15.75" customHeight="1" s="177">
      <c r="A248" s="1" t="n"/>
      <c r="B248" s="1" t="n"/>
      <c r="C248" s="1" t="n"/>
      <c r="D248" s="1" t="n"/>
      <c r="E248" s="1" t="n"/>
      <c r="F248" s="1" t="n"/>
      <c r="G248" s="1" t="n"/>
      <c r="H248" s="1" t="n"/>
    </row>
    <row r="249" ht="15.75" customHeight="1" s="177">
      <c r="A249" s="1" t="n"/>
      <c r="B249" s="1" t="n"/>
      <c r="C249" s="1" t="n"/>
      <c r="D249" s="1" t="n"/>
      <c r="E249" s="1" t="n"/>
      <c r="F249" s="1" t="n"/>
      <c r="G249" s="1" t="n"/>
      <c r="H249" s="1" t="n"/>
    </row>
    <row r="250" ht="15.75" customHeight="1" s="177">
      <c r="A250" s="1" t="n"/>
      <c r="B250" s="1" t="n"/>
      <c r="C250" s="1" t="n"/>
      <c r="D250" s="1" t="n"/>
      <c r="E250" s="1" t="n"/>
      <c r="F250" s="1" t="n"/>
      <c r="G250" s="1" t="n"/>
      <c r="H250" s="1" t="n"/>
    </row>
    <row r="251" ht="15.75" customHeight="1" s="177">
      <c r="A251" s="1" t="n"/>
      <c r="B251" s="1" t="n"/>
      <c r="C251" s="1" t="n"/>
      <c r="D251" s="1" t="n"/>
      <c r="E251" s="1" t="n"/>
      <c r="F251" s="1" t="n"/>
      <c r="G251" s="1" t="n"/>
      <c r="H251" s="1" t="n"/>
    </row>
    <row r="252" ht="15.75" customHeight="1" s="177">
      <c r="A252" s="1" t="n"/>
      <c r="B252" s="1" t="n"/>
      <c r="C252" s="1" t="n"/>
      <c r="D252" s="1" t="n"/>
      <c r="E252" s="1" t="n"/>
      <c r="F252" s="1" t="n"/>
      <c r="G252" s="1" t="n"/>
      <c r="H252" s="1" t="n"/>
    </row>
    <row r="253" ht="15.75" customHeight="1" s="177">
      <c r="A253" s="1" t="n"/>
      <c r="B253" s="1" t="n"/>
      <c r="C253" s="1" t="n"/>
      <c r="D253" s="1" t="n"/>
      <c r="E253" s="1" t="n"/>
      <c r="F253" s="1" t="n"/>
      <c r="G253" s="1" t="n"/>
      <c r="H253" s="1" t="n"/>
    </row>
    <row r="254" ht="15.75" customHeight="1" s="177">
      <c r="A254" s="1" t="n"/>
      <c r="B254" s="1" t="n"/>
      <c r="C254" s="1" t="n"/>
      <c r="D254" s="1" t="n"/>
      <c r="E254" s="1" t="n"/>
      <c r="F254" s="1" t="n"/>
      <c r="G254" s="1" t="n"/>
      <c r="H254" s="1" t="n"/>
    </row>
    <row r="255" ht="15.75" customHeight="1" s="177">
      <c r="A255" s="1" t="n"/>
      <c r="B255" s="1" t="n"/>
      <c r="C255" s="1" t="n"/>
      <c r="D255" s="1" t="n"/>
      <c r="E255" s="1" t="n"/>
      <c r="F255" s="1" t="n"/>
      <c r="G255" s="1" t="n"/>
      <c r="H255" s="1" t="n"/>
    </row>
    <row r="256" ht="15.75" customHeight="1" s="177">
      <c r="A256" s="1" t="n"/>
      <c r="B256" s="1" t="n"/>
      <c r="C256" s="1" t="n"/>
      <c r="D256" s="1" t="n"/>
      <c r="E256" s="1" t="n"/>
      <c r="F256" s="1" t="n"/>
      <c r="G256" s="1" t="n"/>
      <c r="H256" s="1" t="n"/>
    </row>
    <row r="257" ht="15.75" customHeight="1" s="177">
      <c r="A257" s="1" t="n"/>
      <c r="B257" s="1" t="n"/>
      <c r="C257" s="1" t="n"/>
      <c r="D257" s="1" t="n"/>
      <c r="E257" s="1" t="n"/>
      <c r="F257" s="1" t="n"/>
      <c r="G257" s="1" t="n"/>
      <c r="H257" s="1" t="n"/>
    </row>
    <row r="258" ht="15.75" customHeight="1" s="177">
      <c r="A258" s="1" t="n"/>
      <c r="B258" s="1" t="n"/>
      <c r="C258" s="1" t="n"/>
      <c r="D258" s="1" t="n"/>
      <c r="E258" s="1" t="n"/>
      <c r="F258" s="1" t="n"/>
      <c r="G258" s="1" t="n"/>
      <c r="H258" s="1" t="n"/>
    </row>
    <row r="259" ht="15.75" customHeight="1" s="177">
      <c r="A259" s="1" t="n"/>
      <c r="B259" s="1" t="n"/>
      <c r="C259" s="1" t="n"/>
      <c r="D259" s="1" t="n"/>
      <c r="E259" s="1" t="n"/>
      <c r="F259" s="1" t="n"/>
      <c r="G259" s="1" t="n"/>
      <c r="H259" s="1" t="n"/>
    </row>
    <row r="260" ht="15.75" customHeight="1" s="177">
      <c r="A260" s="1" t="n"/>
      <c r="B260" s="1" t="n"/>
      <c r="C260" s="1" t="n"/>
      <c r="D260" s="1" t="n"/>
      <c r="E260" s="1" t="n"/>
      <c r="F260" s="1" t="n"/>
      <c r="G260" s="1" t="n"/>
      <c r="H260" s="1" t="n"/>
    </row>
    <row r="261" ht="15.75" customHeight="1" s="177">
      <c r="A261" s="1" t="n"/>
      <c r="B261" s="1" t="n"/>
      <c r="C261" s="1" t="n"/>
      <c r="D261" s="1" t="n"/>
      <c r="E261" s="1" t="n"/>
      <c r="F261" s="1" t="n"/>
      <c r="G261" s="1" t="n"/>
      <c r="H261" s="1" t="n"/>
    </row>
    <row r="262" ht="15.75" customHeight="1" s="177">
      <c r="A262" s="1" t="n"/>
      <c r="B262" s="1" t="n"/>
      <c r="C262" s="1" t="n"/>
      <c r="D262" s="1" t="n"/>
      <c r="E262" s="1" t="n"/>
      <c r="F262" s="1" t="n"/>
      <c r="G262" s="1" t="n"/>
      <c r="H262" s="1" t="n"/>
    </row>
    <row r="263" ht="15.75" customHeight="1" s="177">
      <c r="A263" s="1" t="n"/>
      <c r="B263" s="1" t="n"/>
      <c r="C263" s="1" t="n"/>
      <c r="D263" s="1" t="n"/>
      <c r="E263" s="1" t="n"/>
      <c r="F263" s="1" t="n"/>
      <c r="G263" s="1" t="n"/>
      <c r="H263" s="1" t="n"/>
    </row>
    <row r="264" ht="15.75" customHeight="1" s="177">
      <c r="A264" s="1" t="n"/>
      <c r="B264" s="1" t="n"/>
      <c r="C264" s="1" t="n"/>
      <c r="D264" s="1" t="n"/>
      <c r="E264" s="1" t="n"/>
      <c r="F264" s="1" t="n"/>
      <c r="G264" s="1" t="n"/>
      <c r="H264" s="1" t="n"/>
    </row>
    <row r="265" ht="15.75" customHeight="1" s="177">
      <c r="A265" s="1" t="n"/>
      <c r="B265" s="1" t="n"/>
      <c r="C265" s="1" t="n"/>
      <c r="D265" s="1" t="n"/>
      <c r="E265" s="1" t="n"/>
      <c r="F265" s="1" t="n"/>
      <c r="G265" s="1" t="n"/>
      <c r="H265" s="1" t="n"/>
    </row>
    <row r="266" ht="15.75" customHeight="1" s="177">
      <c r="A266" s="1" t="n"/>
      <c r="B266" s="1" t="n"/>
      <c r="C266" s="1" t="n"/>
      <c r="D266" s="1" t="n"/>
      <c r="E266" s="1" t="n"/>
      <c r="F266" s="1" t="n"/>
      <c r="G266" s="1" t="n"/>
      <c r="H266" s="1" t="n"/>
    </row>
    <row r="267" ht="15.75" customHeight="1" s="177">
      <c r="A267" s="1" t="n"/>
      <c r="B267" s="1" t="n"/>
      <c r="C267" s="1" t="n"/>
      <c r="D267" s="1" t="n"/>
      <c r="E267" s="1" t="n"/>
      <c r="F267" s="1" t="n"/>
      <c r="G267" s="1" t="n"/>
      <c r="H267" s="1" t="n"/>
    </row>
    <row r="268" ht="15.75" customHeight="1" s="177">
      <c r="A268" s="1" t="n"/>
      <c r="B268" s="1" t="n"/>
      <c r="C268" s="1" t="n"/>
      <c r="D268" s="1" t="n"/>
      <c r="E268" s="1" t="n"/>
      <c r="F268" s="1" t="n"/>
      <c r="G268" s="1" t="n"/>
      <c r="H268" s="1" t="n"/>
    </row>
    <row r="269" ht="15.75" customHeight="1" s="177">
      <c r="A269" s="1" t="n"/>
      <c r="B269" s="1" t="n"/>
      <c r="C269" s="1" t="n"/>
      <c r="D269" s="1" t="n"/>
      <c r="E269" s="1" t="n"/>
      <c r="F269" s="1" t="n"/>
      <c r="G269" s="1" t="n"/>
      <c r="H269" s="1" t="n"/>
    </row>
    <row r="270" ht="15.75" customHeight="1" s="177">
      <c r="A270" s="1" t="n"/>
      <c r="B270" s="1" t="n"/>
      <c r="C270" s="1" t="n"/>
      <c r="D270" s="1" t="n"/>
      <c r="E270" s="1" t="n"/>
      <c r="F270" s="1" t="n"/>
      <c r="G270" s="1" t="n"/>
      <c r="H270" s="1" t="n"/>
    </row>
    <row r="271" ht="15.75" customHeight="1" s="177">
      <c r="A271" s="1" t="n"/>
      <c r="B271" s="1" t="n"/>
      <c r="C271" s="1" t="n"/>
      <c r="D271" s="1" t="n"/>
      <c r="E271" s="1" t="n"/>
      <c r="F271" s="1" t="n"/>
      <c r="G271" s="1" t="n"/>
      <c r="H271" s="1" t="n"/>
    </row>
    <row r="272" ht="15.75" customHeight="1" s="177">
      <c r="A272" s="1" t="n"/>
      <c r="B272" s="1" t="n"/>
      <c r="C272" s="1" t="n"/>
      <c r="D272" s="1" t="n"/>
      <c r="E272" s="1" t="n"/>
      <c r="F272" s="1" t="n"/>
      <c r="G272" s="1" t="n"/>
      <c r="H272" s="1" t="n"/>
    </row>
    <row r="273" ht="15.75" customHeight="1" s="177">
      <c r="A273" s="1" t="n"/>
      <c r="B273" s="1" t="n"/>
      <c r="C273" s="1" t="n"/>
      <c r="D273" s="1" t="n"/>
      <c r="E273" s="1" t="n"/>
      <c r="F273" s="1" t="n"/>
      <c r="G273" s="1" t="n"/>
      <c r="H273" s="1" t="n"/>
    </row>
    <row r="274" ht="15.75" customHeight="1" s="177">
      <c r="A274" s="1" t="n"/>
      <c r="B274" s="1" t="n"/>
      <c r="C274" s="1" t="n"/>
      <c r="D274" s="1" t="n"/>
      <c r="E274" s="1" t="n"/>
      <c r="F274" s="1" t="n"/>
      <c r="G274" s="1" t="n"/>
      <c r="H274" s="1" t="n"/>
    </row>
    <row r="275" ht="15.75" customHeight="1" s="177">
      <c r="A275" s="1" t="n"/>
      <c r="B275" s="1" t="n"/>
      <c r="C275" s="1" t="n"/>
      <c r="D275" s="1" t="n"/>
      <c r="E275" s="1" t="n"/>
      <c r="F275" s="1" t="n"/>
      <c r="G275" s="1" t="n"/>
      <c r="H275" s="1" t="n"/>
    </row>
    <row r="276" ht="15.75" customHeight="1" s="177">
      <c r="A276" s="1" t="n"/>
      <c r="B276" s="1" t="n"/>
      <c r="C276" s="1" t="n"/>
      <c r="D276" s="1" t="n"/>
      <c r="E276" s="1" t="n"/>
      <c r="F276" s="1" t="n"/>
      <c r="G276" s="1" t="n"/>
      <c r="H276" s="1" t="n"/>
    </row>
    <row r="277" ht="15.75" customHeight="1" s="177">
      <c r="A277" s="1" t="n"/>
      <c r="B277" s="1" t="n"/>
      <c r="C277" s="1" t="n"/>
      <c r="D277" s="1" t="n"/>
      <c r="E277" s="1" t="n"/>
      <c r="F277" s="1" t="n"/>
      <c r="G277" s="1" t="n"/>
      <c r="H277" s="1" t="n"/>
    </row>
    <row r="278" ht="15.75" customHeight="1" s="177">
      <c r="A278" s="1" t="n"/>
      <c r="B278" s="1" t="n"/>
      <c r="C278" s="1" t="n"/>
      <c r="D278" s="1" t="n"/>
      <c r="E278" s="1" t="n"/>
      <c r="F278" s="1" t="n"/>
      <c r="G278" s="1" t="n"/>
      <c r="H278" s="1" t="n"/>
    </row>
    <row r="279" ht="15.75" customHeight="1" s="177">
      <c r="A279" s="1" t="n"/>
      <c r="B279" s="1" t="n"/>
      <c r="C279" s="1" t="n"/>
      <c r="D279" s="1" t="n"/>
      <c r="E279" s="1" t="n"/>
      <c r="F279" s="1" t="n"/>
      <c r="G279" s="1" t="n"/>
      <c r="H279" s="1" t="n"/>
    </row>
    <row r="280" ht="15.75" customHeight="1" s="177">
      <c r="A280" s="1" t="n"/>
      <c r="B280" s="1" t="n"/>
      <c r="C280" s="1" t="n"/>
      <c r="D280" s="1" t="n"/>
      <c r="E280" s="1" t="n"/>
      <c r="F280" s="1" t="n"/>
      <c r="G280" s="1" t="n"/>
      <c r="H280" s="1" t="n"/>
    </row>
    <row r="281" ht="15.75" customHeight="1" s="177">
      <c r="A281" s="1" t="n"/>
      <c r="B281" s="1" t="n"/>
      <c r="C281" s="1" t="n"/>
      <c r="D281" s="1" t="n"/>
      <c r="E281" s="1" t="n"/>
      <c r="F281" s="1" t="n"/>
      <c r="G281" s="1" t="n"/>
      <c r="H281" s="1" t="n"/>
    </row>
    <row r="282" ht="15.75" customHeight="1" s="177">
      <c r="A282" s="1" t="n"/>
      <c r="B282" s="1" t="n"/>
      <c r="C282" s="1" t="n"/>
      <c r="D282" s="1" t="n"/>
      <c r="E282" s="1" t="n"/>
      <c r="F282" s="1" t="n"/>
      <c r="G282" s="1" t="n"/>
      <c r="H282" s="1" t="n"/>
    </row>
    <row r="283" ht="15.75" customHeight="1" s="177">
      <c r="A283" s="1" t="n"/>
      <c r="B283" s="1" t="n"/>
      <c r="C283" s="1" t="n"/>
      <c r="D283" s="1" t="n"/>
      <c r="E283" s="1" t="n"/>
      <c r="F283" s="1" t="n"/>
      <c r="G283" s="1" t="n"/>
      <c r="H283" s="1" t="n"/>
    </row>
    <row r="284" ht="15.75" customHeight="1" s="177">
      <c r="A284" s="1" t="n"/>
      <c r="B284" s="1" t="n"/>
      <c r="C284" s="1" t="n"/>
      <c r="D284" s="1" t="n"/>
      <c r="E284" s="1" t="n"/>
      <c r="F284" s="1" t="n"/>
      <c r="G284" s="1" t="n"/>
      <c r="H284" s="1" t="n"/>
    </row>
    <row r="285" ht="15.75" customHeight="1" s="177">
      <c r="A285" s="1" t="n"/>
      <c r="B285" s="1" t="n"/>
      <c r="C285" s="1" t="n"/>
      <c r="D285" s="1" t="n"/>
      <c r="E285" s="1" t="n"/>
      <c r="F285" s="1" t="n"/>
      <c r="G285" s="1" t="n"/>
      <c r="H285" s="1" t="n"/>
    </row>
    <row r="286" ht="15.75" customHeight="1" s="177">
      <c r="A286" s="1" t="n"/>
      <c r="B286" s="1" t="n"/>
      <c r="C286" s="1" t="n"/>
      <c r="D286" s="1" t="n"/>
      <c r="E286" s="1" t="n"/>
      <c r="F286" s="1" t="n"/>
      <c r="G286" s="1" t="n"/>
      <c r="H286" s="1" t="n"/>
    </row>
    <row r="287" ht="15.75" customHeight="1" s="177">
      <c r="A287" s="1" t="n"/>
      <c r="B287" s="1" t="n"/>
      <c r="C287" s="1" t="n"/>
      <c r="D287" s="1" t="n"/>
      <c r="E287" s="1" t="n"/>
      <c r="F287" s="1" t="n"/>
      <c r="G287" s="1" t="n"/>
      <c r="H287" s="1" t="n"/>
    </row>
    <row r="288" ht="15.75" customHeight="1" s="177">
      <c r="A288" s="1" t="n"/>
      <c r="B288" s="1" t="n"/>
      <c r="C288" s="1" t="n"/>
      <c r="D288" s="1" t="n"/>
      <c r="E288" s="1" t="n"/>
      <c r="F288" s="1" t="n"/>
      <c r="G288" s="1" t="n"/>
      <c r="H288" s="1" t="n"/>
    </row>
    <row r="289" ht="15.75" customHeight="1" s="177">
      <c r="A289" s="1" t="n"/>
      <c r="B289" s="1" t="n"/>
      <c r="C289" s="1" t="n"/>
      <c r="D289" s="1" t="n"/>
      <c r="E289" s="1" t="n"/>
      <c r="F289" s="1" t="n"/>
      <c r="G289" s="1" t="n"/>
      <c r="H289" s="1" t="n"/>
    </row>
    <row r="290" ht="15.75" customHeight="1" s="177">
      <c r="A290" s="1" t="n"/>
      <c r="B290" s="1" t="n"/>
      <c r="C290" s="1" t="n"/>
      <c r="D290" s="1" t="n"/>
      <c r="E290" s="1" t="n"/>
      <c r="F290" s="1" t="n"/>
      <c r="G290" s="1" t="n"/>
      <c r="H290" s="1" t="n"/>
    </row>
    <row r="291" ht="15.75" customHeight="1" s="177">
      <c r="A291" s="1" t="n"/>
      <c r="B291" s="1" t="n"/>
      <c r="C291" s="1" t="n"/>
      <c r="D291" s="1" t="n"/>
      <c r="E291" s="1" t="n"/>
      <c r="F291" s="1" t="n"/>
      <c r="G291" s="1" t="n"/>
      <c r="H291" s="1" t="n"/>
    </row>
    <row r="292" ht="15.75" customHeight="1" s="177">
      <c r="A292" s="1" t="n"/>
      <c r="B292" s="1" t="n"/>
      <c r="C292" s="1" t="n"/>
      <c r="D292" s="1" t="n"/>
      <c r="E292" s="1" t="n"/>
      <c r="F292" s="1" t="n"/>
      <c r="G292" s="1" t="n"/>
      <c r="H292" s="1" t="n"/>
    </row>
    <row r="293" ht="15.75" customHeight="1" s="177">
      <c r="A293" s="1" t="n"/>
      <c r="B293" s="1" t="n"/>
      <c r="C293" s="1" t="n"/>
      <c r="D293" s="1" t="n"/>
      <c r="E293" s="1" t="n"/>
      <c r="F293" s="1" t="n"/>
      <c r="G293" s="1" t="n"/>
      <c r="H293" s="1" t="n"/>
    </row>
    <row r="294" ht="15.75" customHeight="1" s="177">
      <c r="A294" s="1" t="n"/>
      <c r="B294" s="1" t="n"/>
      <c r="C294" s="1" t="n"/>
      <c r="D294" s="1" t="n"/>
      <c r="E294" s="1" t="n"/>
      <c r="F294" s="1" t="n"/>
      <c r="G294" s="1" t="n"/>
      <c r="H294" s="1" t="n"/>
    </row>
    <row r="295" ht="15.75" customHeight="1" s="177">
      <c r="A295" s="1" t="n"/>
      <c r="B295" s="1" t="n"/>
      <c r="C295" s="1" t="n"/>
      <c r="D295" s="1" t="n"/>
      <c r="E295" s="1" t="n"/>
      <c r="F295" s="1" t="n"/>
      <c r="G295" s="1" t="n"/>
      <c r="H295" s="1" t="n"/>
    </row>
    <row r="296" ht="15.75" customHeight="1" s="177">
      <c r="A296" s="1" t="n"/>
      <c r="B296" s="1" t="n"/>
      <c r="C296" s="1" t="n"/>
      <c r="D296" s="1" t="n"/>
      <c r="E296" s="1" t="n"/>
      <c r="F296" s="1" t="n"/>
      <c r="G296" s="1" t="n"/>
      <c r="H296" s="1" t="n"/>
    </row>
    <row r="297" ht="15.75" customHeight="1" s="177">
      <c r="A297" s="1" t="n"/>
      <c r="B297" s="1" t="n"/>
      <c r="C297" s="1" t="n"/>
      <c r="D297" s="1" t="n"/>
      <c r="E297" s="1" t="n"/>
      <c r="F297" s="1" t="n"/>
      <c r="G297" s="1" t="n"/>
      <c r="H297" s="1" t="n"/>
    </row>
    <row r="298" ht="15.75" customHeight="1" s="177">
      <c r="A298" s="1" t="n"/>
      <c r="B298" s="1" t="n"/>
      <c r="C298" s="1" t="n"/>
      <c r="D298" s="1" t="n"/>
      <c r="E298" s="1" t="n"/>
      <c r="F298" s="1" t="n"/>
      <c r="G298" s="1" t="n"/>
      <c r="H298" s="1" t="n"/>
    </row>
    <row r="299" ht="15.75" customHeight="1" s="177">
      <c r="A299" s="1" t="n"/>
      <c r="B299" s="1" t="n"/>
      <c r="C299" s="1" t="n"/>
      <c r="D299" s="1" t="n"/>
      <c r="E299" s="1" t="n"/>
      <c r="F299" s="1" t="n"/>
      <c r="G299" s="1" t="n"/>
      <c r="H299" s="1" t="n"/>
    </row>
    <row r="300" ht="15.75" customHeight="1" s="177">
      <c r="A300" s="1" t="n"/>
      <c r="B300" s="1" t="n"/>
      <c r="C300" s="1" t="n"/>
      <c r="D300" s="1" t="n"/>
      <c r="E300" s="1" t="n"/>
      <c r="F300" s="1" t="n"/>
      <c r="G300" s="1" t="n"/>
      <c r="H300" s="1" t="n"/>
    </row>
    <row r="301" ht="15.75" customHeight="1" s="177">
      <c r="A301" s="1" t="n"/>
      <c r="B301" s="1" t="n"/>
      <c r="C301" s="1" t="n"/>
      <c r="D301" s="1" t="n"/>
      <c r="E301" s="1" t="n"/>
      <c r="F301" s="1" t="n"/>
      <c r="G301" s="1" t="n"/>
      <c r="H301" s="1" t="n"/>
    </row>
    <row r="302" ht="15.75" customHeight="1" s="177">
      <c r="A302" s="1" t="n"/>
      <c r="B302" s="1" t="n"/>
      <c r="C302" s="1" t="n"/>
      <c r="D302" s="1" t="n"/>
      <c r="E302" s="1" t="n"/>
      <c r="F302" s="1" t="n"/>
      <c r="G302" s="1" t="n"/>
      <c r="H302" s="1" t="n"/>
    </row>
    <row r="303" ht="15.75" customHeight="1" s="177">
      <c r="A303" s="1" t="n"/>
      <c r="B303" s="1" t="n"/>
      <c r="C303" s="1" t="n"/>
      <c r="D303" s="1" t="n"/>
      <c r="E303" s="1" t="n"/>
      <c r="F303" s="1" t="n"/>
      <c r="G303" s="1" t="n"/>
      <c r="H303" s="1" t="n"/>
    </row>
    <row r="304" ht="15.75" customHeight="1" s="177">
      <c r="A304" s="1" t="n"/>
      <c r="B304" s="1" t="n"/>
      <c r="C304" s="1" t="n"/>
      <c r="D304" s="1" t="n"/>
      <c r="E304" s="1" t="n"/>
      <c r="F304" s="1" t="n"/>
      <c r="G304" s="1" t="n"/>
      <c r="H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  <c r="G305" s="1" t="n"/>
      <c r="H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  <c r="G306" s="1" t="n"/>
      <c r="H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  <c r="G307" s="1" t="n"/>
      <c r="H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  <c r="G308" s="1" t="n"/>
      <c r="H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  <c r="G309" s="1" t="n"/>
      <c r="H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  <c r="G310" s="1" t="n"/>
      <c r="H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  <c r="G311" s="1" t="n"/>
      <c r="H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  <c r="G312" s="1" t="n"/>
      <c r="H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  <c r="G313" s="1" t="n"/>
      <c r="H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  <c r="G314" s="1" t="n"/>
      <c r="H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  <c r="G315" s="1" t="n"/>
      <c r="H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  <c r="G316" s="1" t="n"/>
      <c r="H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  <c r="G317" s="1" t="n"/>
      <c r="H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  <c r="G318" s="1" t="n"/>
      <c r="H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  <c r="G319" s="1" t="n"/>
      <c r="H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  <c r="G320" s="1" t="n"/>
      <c r="H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  <c r="G321" s="1" t="n"/>
      <c r="H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  <c r="G322" s="1" t="n"/>
      <c r="H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  <c r="G323" s="1" t="n"/>
      <c r="H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  <c r="G324" s="1" t="n"/>
      <c r="H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  <c r="G325" s="1" t="n"/>
      <c r="H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  <c r="G326" s="1" t="n"/>
      <c r="H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  <c r="G327" s="1" t="n"/>
      <c r="H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  <c r="G328" s="1" t="n"/>
      <c r="H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  <c r="G329" s="1" t="n"/>
      <c r="H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  <c r="G330" s="1" t="n"/>
      <c r="H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  <c r="G331" s="1" t="n"/>
      <c r="H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  <c r="G332" s="1" t="n"/>
      <c r="H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  <c r="G333" s="1" t="n"/>
      <c r="H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  <c r="G334" s="1" t="n"/>
      <c r="H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  <c r="G335" s="1" t="n"/>
      <c r="H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  <c r="G336" s="1" t="n"/>
      <c r="H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  <c r="G337" s="1" t="n"/>
      <c r="H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  <c r="G338" s="1" t="n"/>
      <c r="H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  <c r="G339" s="1" t="n"/>
      <c r="H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  <c r="G340" s="1" t="n"/>
      <c r="H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  <c r="G341" s="1" t="n"/>
      <c r="H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  <c r="G342" s="1" t="n"/>
      <c r="H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  <c r="G343" s="1" t="n"/>
      <c r="H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  <c r="G344" s="1" t="n"/>
      <c r="H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  <c r="G345" s="1" t="n"/>
      <c r="H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  <c r="G346" s="1" t="n"/>
      <c r="H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  <c r="G347" s="1" t="n"/>
      <c r="H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  <c r="G348" s="1" t="n"/>
      <c r="H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  <c r="G349" s="1" t="n"/>
      <c r="H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  <c r="G350" s="1" t="n"/>
      <c r="H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  <c r="G351" s="1" t="n"/>
      <c r="H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  <c r="G352" s="1" t="n"/>
      <c r="H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  <c r="G353" s="1" t="n"/>
      <c r="H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  <c r="G354" s="1" t="n"/>
      <c r="H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  <c r="G355" s="1" t="n"/>
      <c r="H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  <c r="G356" s="1" t="n"/>
      <c r="H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  <c r="G357" s="1" t="n"/>
      <c r="H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  <c r="G358" s="1" t="n"/>
      <c r="H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  <c r="G359" s="1" t="n"/>
      <c r="H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  <c r="G360" s="1" t="n"/>
      <c r="H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  <c r="G361" s="1" t="n"/>
      <c r="H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  <c r="G362" s="1" t="n"/>
      <c r="H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  <c r="G363" s="1" t="n"/>
      <c r="H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  <c r="G364" s="1" t="n"/>
      <c r="H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  <c r="G365" s="1" t="n"/>
      <c r="H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  <c r="G366" s="1" t="n"/>
      <c r="H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  <c r="G367" s="1" t="n"/>
      <c r="H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  <c r="G368" s="1" t="n"/>
      <c r="H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  <c r="G369" s="1" t="n"/>
      <c r="H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  <c r="G370" s="1" t="n"/>
      <c r="H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  <c r="G371" s="1" t="n"/>
      <c r="H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  <c r="G372" s="1" t="n"/>
      <c r="H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  <c r="G373" s="1" t="n"/>
      <c r="H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  <c r="G374" s="1" t="n"/>
      <c r="H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  <c r="G375" s="1" t="n"/>
      <c r="H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  <c r="G376" s="1" t="n"/>
      <c r="H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  <c r="G377" s="1" t="n"/>
      <c r="H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  <c r="G378" s="1" t="n"/>
      <c r="H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  <c r="G379" s="1" t="n"/>
      <c r="H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  <c r="G380" s="1" t="n"/>
      <c r="H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  <c r="G381" s="1" t="n"/>
      <c r="H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  <c r="G382" s="1" t="n"/>
      <c r="H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  <c r="G383" s="1" t="n"/>
      <c r="H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  <c r="G384" s="1" t="n"/>
      <c r="H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  <c r="G385" s="1" t="n"/>
      <c r="H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  <c r="G386" s="1" t="n"/>
      <c r="H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  <c r="G387" s="1" t="n"/>
      <c r="H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  <c r="G388" s="1" t="n"/>
      <c r="H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  <c r="G389" s="1" t="n"/>
      <c r="H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  <c r="G390" s="1" t="n"/>
      <c r="H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  <c r="G391" s="1" t="n"/>
      <c r="H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  <c r="G392" s="1" t="n"/>
      <c r="H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  <c r="G393" s="1" t="n"/>
      <c r="H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  <c r="G394" s="1" t="n"/>
      <c r="H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  <c r="G395" s="1" t="n"/>
      <c r="H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  <c r="G396" s="1" t="n"/>
      <c r="H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  <c r="G397" s="1" t="n"/>
      <c r="H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  <c r="G398" s="1" t="n"/>
      <c r="H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  <c r="G399" s="1" t="n"/>
      <c r="H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  <c r="G400" s="1" t="n"/>
      <c r="H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  <c r="G401" s="1" t="n"/>
      <c r="H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  <c r="G402" s="1" t="n"/>
      <c r="H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  <c r="G403" s="1" t="n"/>
      <c r="H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  <c r="G404" s="1" t="n"/>
      <c r="H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  <c r="G405" s="1" t="n"/>
      <c r="H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  <c r="G406" s="1" t="n"/>
      <c r="H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  <c r="G407" s="1" t="n"/>
      <c r="H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  <c r="G408" s="1" t="n"/>
      <c r="H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  <c r="G409" s="1" t="n"/>
      <c r="H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  <c r="G410" s="1" t="n"/>
      <c r="H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  <c r="G411" s="1" t="n"/>
      <c r="H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  <c r="G412" s="1" t="n"/>
      <c r="H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  <c r="G413" s="1" t="n"/>
      <c r="H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  <c r="G414" s="1" t="n"/>
      <c r="H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  <c r="G415" s="1" t="n"/>
      <c r="H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  <c r="G416" s="1" t="n"/>
      <c r="H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  <c r="G417" s="1" t="n"/>
      <c r="H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  <c r="G418" s="1" t="n"/>
      <c r="H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  <c r="G419" s="1" t="n"/>
      <c r="H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  <c r="G420" s="1" t="n"/>
      <c r="H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  <c r="G421" s="1" t="n"/>
      <c r="H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  <c r="G422" s="1" t="n"/>
      <c r="H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  <c r="G423" s="1" t="n"/>
      <c r="H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  <c r="G424" s="1" t="n"/>
      <c r="H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  <c r="G425" s="1" t="n"/>
      <c r="H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  <c r="G426" s="1" t="n"/>
      <c r="H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  <c r="G427" s="1" t="n"/>
      <c r="H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  <c r="G428" s="1" t="n"/>
      <c r="H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  <c r="G429" s="1" t="n"/>
      <c r="H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  <c r="G430" s="1" t="n"/>
      <c r="H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  <c r="G431" s="1" t="n"/>
      <c r="H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  <c r="G432" s="1" t="n"/>
      <c r="H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  <c r="G433" s="1" t="n"/>
      <c r="H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  <c r="G434" s="1" t="n"/>
      <c r="H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  <c r="G435" s="1" t="n"/>
      <c r="H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  <c r="G436" s="1" t="n"/>
      <c r="H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  <c r="G437" s="1" t="n"/>
      <c r="H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  <c r="G438" s="1" t="n"/>
      <c r="H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  <c r="G439" s="1" t="n"/>
      <c r="H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  <c r="G440" s="1" t="n"/>
      <c r="H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  <c r="G441" s="1" t="n"/>
      <c r="H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  <c r="G442" s="1" t="n"/>
      <c r="H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  <c r="G443" s="1" t="n"/>
      <c r="H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  <c r="G444" s="1" t="n"/>
      <c r="H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  <c r="G445" s="1" t="n"/>
      <c r="H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  <c r="G446" s="1" t="n"/>
      <c r="H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  <c r="G447" s="1" t="n"/>
      <c r="H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  <c r="G448" s="1" t="n"/>
      <c r="H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  <c r="G449" s="1" t="n"/>
      <c r="H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  <c r="G450" s="1" t="n"/>
      <c r="H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  <c r="G451" s="1" t="n"/>
      <c r="H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  <c r="G452" s="1" t="n"/>
      <c r="H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  <c r="G453" s="1" t="n"/>
      <c r="H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  <c r="G454" s="1" t="n"/>
      <c r="H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  <c r="G455" s="1" t="n"/>
      <c r="H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  <c r="G456" s="1" t="n"/>
      <c r="H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  <c r="G457" s="1" t="n"/>
      <c r="H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  <c r="G458" s="1" t="n"/>
      <c r="H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  <c r="G459" s="1" t="n"/>
      <c r="H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  <c r="G460" s="1" t="n"/>
      <c r="H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  <c r="G461" s="1" t="n"/>
      <c r="H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  <c r="G462" s="1" t="n"/>
      <c r="H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  <c r="G463" s="1" t="n"/>
      <c r="H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  <c r="G464" s="1" t="n"/>
      <c r="H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  <c r="G465" s="1" t="n"/>
      <c r="H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  <c r="G466" s="1" t="n"/>
      <c r="H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  <c r="G467" s="1" t="n"/>
      <c r="H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  <c r="G468" s="1" t="n"/>
      <c r="H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  <c r="G469" s="1" t="n"/>
      <c r="H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  <c r="G470" s="1" t="n"/>
      <c r="H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  <c r="G471" s="1" t="n"/>
      <c r="H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  <c r="G472" s="1" t="n"/>
      <c r="H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  <c r="G473" s="1" t="n"/>
      <c r="H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  <c r="G474" s="1" t="n"/>
      <c r="H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  <c r="G475" s="1" t="n"/>
      <c r="H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  <c r="G476" s="1" t="n"/>
      <c r="H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  <c r="G477" s="1" t="n"/>
      <c r="H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  <c r="G478" s="1" t="n"/>
      <c r="H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  <c r="G479" s="1" t="n"/>
      <c r="H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  <c r="G480" s="1" t="n"/>
      <c r="H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  <c r="G481" s="1" t="n"/>
      <c r="H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  <c r="G482" s="1" t="n"/>
      <c r="H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  <c r="G483" s="1" t="n"/>
      <c r="H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  <c r="G484" s="1" t="n"/>
      <c r="H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  <c r="G485" s="1" t="n"/>
      <c r="H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  <c r="G486" s="1" t="n"/>
      <c r="H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  <c r="G487" s="1" t="n"/>
      <c r="H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  <c r="G488" s="1" t="n"/>
      <c r="H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  <c r="G489" s="1" t="n"/>
      <c r="H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  <c r="G490" s="1" t="n"/>
      <c r="H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  <c r="G491" s="1" t="n"/>
      <c r="H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  <c r="G492" s="1" t="n"/>
      <c r="H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  <c r="G493" s="1" t="n"/>
      <c r="H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  <c r="G494" s="1" t="n"/>
      <c r="H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  <c r="G495" s="1" t="n"/>
      <c r="H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  <c r="G496" s="1" t="n"/>
      <c r="H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  <c r="G497" s="1" t="n"/>
      <c r="H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  <c r="G498" s="1" t="n"/>
      <c r="H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  <c r="G499" s="1" t="n"/>
      <c r="H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  <c r="G500" s="1" t="n"/>
      <c r="H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  <c r="G501" s="1" t="n"/>
      <c r="H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  <c r="G502" s="1" t="n"/>
      <c r="H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  <c r="G503" s="1" t="n"/>
      <c r="H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7" min="1" max="6"/>
  </cols>
  <sheetData>
    <row r="1">
      <c r="A1" s="2" t="inlineStr">
        <is>
          <t>FECHA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1" t="n"/>
      <c r="B221" s="1" t="n"/>
      <c r="C221" s="1" t="n"/>
      <c r="D221" s="1" t="n"/>
      <c r="E221" s="1" t="n"/>
      <c r="F221" s="1" t="n"/>
    </row>
    <row r="222" ht="15.75" customHeight="1" s="177">
      <c r="A222" s="1" t="n"/>
      <c r="B222" s="1" t="n"/>
      <c r="C222" s="1" t="n"/>
      <c r="D222" s="1" t="n"/>
      <c r="E222" s="1" t="n"/>
      <c r="F222" s="1" t="n"/>
    </row>
    <row r="223" ht="15.75" customHeight="1" s="177">
      <c r="A223" s="1" t="n"/>
      <c r="B223" s="1" t="n"/>
      <c r="C223" s="1" t="n"/>
      <c r="D223" s="1" t="n"/>
      <c r="E223" s="1" t="n"/>
      <c r="F223" s="1" t="n"/>
    </row>
    <row r="224" ht="15.75" customHeight="1" s="177">
      <c r="A224" s="1" t="n"/>
      <c r="B224" s="1" t="n"/>
      <c r="C224" s="1" t="n"/>
      <c r="D224" s="1" t="n"/>
      <c r="E224" s="1" t="n"/>
      <c r="F224" s="1" t="n"/>
    </row>
    <row r="225" ht="15.75" customHeight="1" s="177">
      <c r="A225" s="1" t="n"/>
      <c r="B225" s="1" t="n"/>
      <c r="C225" s="1" t="n"/>
      <c r="D225" s="1" t="n"/>
      <c r="E225" s="1" t="n"/>
      <c r="F225" s="1" t="n"/>
    </row>
    <row r="226" ht="15.75" customHeight="1" s="177">
      <c r="A226" s="1" t="n"/>
      <c r="B226" s="1" t="n"/>
      <c r="C226" s="1" t="n"/>
      <c r="D226" s="1" t="n"/>
      <c r="E226" s="1" t="n"/>
      <c r="F226" s="1" t="n"/>
    </row>
    <row r="227" ht="15.75" customHeight="1" s="177">
      <c r="A227" s="1" t="n"/>
      <c r="B227" s="1" t="n"/>
      <c r="C227" s="1" t="n"/>
      <c r="D227" s="1" t="n"/>
      <c r="E227" s="1" t="n"/>
      <c r="F227" s="1" t="n"/>
    </row>
    <row r="228" ht="15.75" customHeight="1" s="177">
      <c r="A228" s="1" t="n"/>
      <c r="B228" s="1" t="n"/>
      <c r="C228" s="1" t="n"/>
      <c r="D228" s="1" t="n"/>
      <c r="E228" s="1" t="n"/>
      <c r="F228" s="1" t="n"/>
    </row>
    <row r="229" ht="15.75" customHeight="1" s="177">
      <c r="A229" s="1" t="n"/>
      <c r="B229" s="1" t="n"/>
      <c r="C229" s="1" t="n"/>
      <c r="D229" s="1" t="n"/>
      <c r="E229" s="1" t="n"/>
      <c r="F229" s="1" t="n"/>
    </row>
    <row r="230" ht="15.75" customHeight="1" s="177">
      <c r="A230" s="1" t="n"/>
      <c r="B230" s="1" t="n"/>
      <c r="C230" s="1" t="n"/>
      <c r="D230" s="1" t="n"/>
      <c r="E230" s="1" t="n"/>
      <c r="F230" s="1" t="n"/>
    </row>
    <row r="231" ht="15.75" customHeight="1" s="177">
      <c r="A231" s="1" t="n"/>
      <c r="B231" s="1" t="n"/>
      <c r="C231" s="1" t="n"/>
      <c r="D231" s="1" t="n"/>
      <c r="E231" s="1" t="n"/>
      <c r="F231" s="1" t="n"/>
    </row>
    <row r="232" ht="15.75" customHeight="1" s="177">
      <c r="A232" s="1" t="n"/>
      <c r="B232" s="1" t="n"/>
      <c r="C232" s="1" t="n"/>
      <c r="D232" s="1" t="n"/>
      <c r="E232" s="1" t="n"/>
      <c r="F232" s="1" t="n"/>
    </row>
    <row r="233" ht="15.75" customHeight="1" s="177">
      <c r="A233" s="1" t="n"/>
      <c r="B233" s="1" t="n"/>
      <c r="C233" s="1" t="n"/>
      <c r="D233" s="1" t="n"/>
      <c r="E233" s="1" t="n"/>
      <c r="F233" s="1" t="n"/>
    </row>
    <row r="234" ht="15.75" customHeight="1" s="177">
      <c r="A234" s="1" t="n"/>
      <c r="B234" s="1" t="n"/>
      <c r="C234" s="1" t="n"/>
      <c r="D234" s="1" t="n"/>
      <c r="E234" s="1" t="n"/>
      <c r="F234" s="1" t="n"/>
    </row>
    <row r="235" ht="15.75" customHeight="1" s="177">
      <c r="A235" s="1" t="n"/>
      <c r="B235" s="1" t="n"/>
      <c r="C235" s="1" t="n"/>
      <c r="D235" s="1" t="n"/>
      <c r="E235" s="1" t="n"/>
      <c r="F235" s="1" t="n"/>
    </row>
    <row r="236" ht="15.75" customHeight="1" s="177">
      <c r="A236" s="1" t="n"/>
      <c r="B236" s="1" t="n"/>
      <c r="C236" s="1" t="n"/>
      <c r="D236" s="1" t="n"/>
      <c r="E236" s="1" t="n"/>
      <c r="F236" s="1" t="n"/>
    </row>
    <row r="237" ht="15.75" customHeight="1" s="177">
      <c r="A237" s="1" t="n"/>
      <c r="B237" s="1" t="n"/>
      <c r="C237" s="1" t="n"/>
      <c r="D237" s="1" t="n"/>
      <c r="E237" s="1" t="n"/>
      <c r="F237" s="1" t="n"/>
    </row>
    <row r="238" ht="15.75" customHeight="1" s="177">
      <c r="A238" s="1" t="n"/>
      <c r="B238" s="1" t="n"/>
      <c r="C238" s="1" t="n"/>
      <c r="D238" s="1" t="n"/>
      <c r="E238" s="1" t="n"/>
      <c r="F238" s="1" t="n"/>
    </row>
    <row r="239" ht="15.75" customHeight="1" s="177">
      <c r="A239" s="1" t="n"/>
      <c r="B239" s="1" t="n"/>
      <c r="C239" s="1" t="n"/>
      <c r="D239" s="1" t="n"/>
      <c r="E239" s="1" t="n"/>
      <c r="F239" s="1" t="n"/>
    </row>
    <row r="240" ht="15.75" customHeight="1" s="177">
      <c r="A240" s="1" t="n"/>
      <c r="B240" s="1" t="n"/>
      <c r="C240" s="1" t="n"/>
      <c r="D240" s="1" t="n"/>
      <c r="E240" s="1" t="n"/>
      <c r="F240" s="1" t="n"/>
    </row>
    <row r="241" ht="15.75" customHeight="1" s="177">
      <c r="A241" s="1" t="n"/>
      <c r="B241" s="1" t="n"/>
      <c r="C241" s="1" t="n"/>
      <c r="D241" s="1" t="n"/>
      <c r="E241" s="1" t="n"/>
      <c r="F241" s="1" t="n"/>
    </row>
    <row r="242" ht="15.75" customHeight="1" s="177">
      <c r="A242" s="1" t="n"/>
      <c r="B242" s="1" t="n"/>
      <c r="C242" s="1" t="n"/>
      <c r="D242" s="1" t="n"/>
      <c r="E242" s="1" t="n"/>
      <c r="F242" s="1" t="n"/>
    </row>
    <row r="243" ht="15.75" customHeight="1" s="177">
      <c r="A243" s="1" t="n"/>
      <c r="B243" s="1" t="n"/>
      <c r="C243" s="1" t="n"/>
      <c r="D243" s="1" t="n"/>
      <c r="E243" s="1" t="n"/>
      <c r="F243" s="1" t="n"/>
    </row>
    <row r="244" ht="15.75" customHeight="1" s="177">
      <c r="A244" s="1" t="n"/>
      <c r="B244" s="1" t="n"/>
      <c r="C244" s="1" t="n"/>
      <c r="D244" s="1" t="n"/>
      <c r="E244" s="1" t="n"/>
      <c r="F244" s="1" t="n"/>
    </row>
    <row r="245" ht="15.75" customHeight="1" s="177">
      <c r="A245" s="1" t="n"/>
      <c r="B245" s="1" t="n"/>
      <c r="C245" s="1" t="n"/>
      <c r="D245" s="1" t="n"/>
      <c r="E245" s="1" t="n"/>
      <c r="F245" s="1" t="n"/>
    </row>
    <row r="246" ht="15.75" customHeight="1" s="177">
      <c r="A246" s="1" t="n"/>
      <c r="B246" s="1" t="n"/>
      <c r="C246" s="1" t="n"/>
      <c r="D246" s="1" t="n"/>
      <c r="E246" s="1" t="n"/>
      <c r="F246" s="1" t="n"/>
    </row>
    <row r="247" ht="15.75" customHeight="1" s="177">
      <c r="A247" s="1" t="n"/>
      <c r="B247" s="1" t="n"/>
      <c r="C247" s="1" t="n"/>
      <c r="D247" s="1" t="n"/>
      <c r="E247" s="1" t="n"/>
      <c r="F247" s="1" t="n"/>
    </row>
    <row r="248" ht="15.75" customHeight="1" s="177">
      <c r="A248" s="1" t="n"/>
      <c r="B248" s="1" t="n"/>
      <c r="C248" s="1" t="n"/>
      <c r="D248" s="1" t="n"/>
      <c r="E248" s="1" t="n"/>
      <c r="F248" s="1" t="n"/>
    </row>
    <row r="249" ht="15.75" customHeight="1" s="177">
      <c r="A249" s="1" t="n"/>
      <c r="B249" s="1" t="n"/>
      <c r="C249" s="1" t="n"/>
      <c r="D249" s="1" t="n"/>
      <c r="E249" s="1" t="n"/>
      <c r="F249" s="1" t="n"/>
    </row>
    <row r="250" ht="15.75" customHeight="1" s="177">
      <c r="A250" s="1" t="n"/>
      <c r="B250" s="1" t="n"/>
      <c r="C250" s="1" t="n"/>
      <c r="D250" s="1" t="n"/>
      <c r="E250" s="1" t="n"/>
      <c r="F250" s="1" t="n"/>
    </row>
    <row r="251" ht="15.75" customHeight="1" s="177">
      <c r="A251" s="1" t="n"/>
      <c r="B251" s="1" t="n"/>
      <c r="C251" s="1" t="n"/>
      <c r="D251" s="1" t="n"/>
      <c r="E251" s="1" t="n"/>
      <c r="F251" s="1" t="n"/>
    </row>
    <row r="252" ht="15.75" customHeight="1" s="177">
      <c r="A252" s="1" t="n"/>
      <c r="B252" s="1" t="n"/>
      <c r="C252" s="1" t="n"/>
      <c r="D252" s="1" t="n"/>
      <c r="E252" s="1" t="n"/>
      <c r="F252" s="1" t="n"/>
    </row>
    <row r="253" ht="15.75" customHeight="1" s="177">
      <c r="A253" s="1" t="n"/>
      <c r="B253" s="1" t="n"/>
      <c r="C253" s="1" t="n"/>
      <c r="D253" s="1" t="n"/>
      <c r="E253" s="1" t="n"/>
      <c r="F253" s="1" t="n"/>
    </row>
    <row r="254" ht="15.75" customHeight="1" s="177">
      <c r="A254" s="1" t="n"/>
      <c r="B254" s="1" t="n"/>
      <c r="C254" s="1" t="n"/>
      <c r="D254" s="1" t="n"/>
      <c r="E254" s="1" t="n"/>
      <c r="F254" s="1" t="n"/>
    </row>
    <row r="255" ht="15.75" customHeight="1" s="177">
      <c r="A255" s="1" t="n"/>
      <c r="B255" s="1" t="n"/>
      <c r="C255" s="1" t="n"/>
      <c r="D255" s="1" t="n"/>
      <c r="E255" s="1" t="n"/>
      <c r="F255" s="1" t="n"/>
    </row>
    <row r="256" ht="15.75" customHeight="1" s="177">
      <c r="A256" s="1" t="n"/>
      <c r="B256" s="1" t="n"/>
      <c r="C256" s="1" t="n"/>
      <c r="D256" s="1" t="n"/>
      <c r="E256" s="1" t="n"/>
      <c r="F256" s="1" t="n"/>
    </row>
    <row r="257" ht="15.75" customHeight="1" s="177">
      <c r="A257" s="1" t="n"/>
      <c r="B257" s="1" t="n"/>
      <c r="C257" s="1" t="n"/>
      <c r="D257" s="1" t="n"/>
      <c r="E257" s="1" t="n"/>
      <c r="F257" s="1" t="n"/>
    </row>
    <row r="258" ht="15.75" customHeight="1" s="177">
      <c r="A258" s="1" t="n"/>
      <c r="B258" s="1" t="n"/>
      <c r="C258" s="1" t="n"/>
      <c r="D258" s="1" t="n"/>
      <c r="E258" s="1" t="n"/>
      <c r="F258" s="1" t="n"/>
    </row>
    <row r="259" ht="15.75" customHeight="1" s="177">
      <c r="A259" s="1" t="n"/>
      <c r="B259" s="1" t="n"/>
      <c r="C259" s="1" t="n"/>
      <c r="D259" s="1" t="n"/>
      <c r="E259" s="1" t="n"/>
      <c r="F259" s="1" t="n"/>
    </row>
    <row r="260" ht="15.75" customHeight="1" s="177">
      <c r="A260" s="1" t="n"/>
      <c r="B260" s="1" t="n"/>
      <c r="C260" s="1" t="n"/>
      <c r="D260" s="1" t="n"/>
      <c r="E260" s="1" t="n"/>
      <c r="F260" s="1" t="n"/>
    </row>
    <row r="261" ht="15.75" customHeight="1" s="177">
      <c r="A261" s="1" t="n"/>
      <c r="B261" s="1" t="n"/>
      <c r="C261" s="1" t="n"/>
      <c r="D261" s="1" t="n"/>
      <c r="E261" s="1" t="n"/>
      <c r="F261" s="1" t="n"/>
    </row>
    <row r="262" ht="15.75" customHeight="1" s="177">
      <c r="A262" s="1" t="n"/>
      <c r="B262" s="1" t="n"/>
      <c r="C262" s="1" t="n"/>
      <c r="D262" s="1" t="n"/>
      <c r="E262" s="1" t="n"/>
      <c r="F262" s="1" t="n"/>
    </row>
    <row r="263" ht="15.75" customHeight="1" s="177">
      <c r="A263" s="1" t="n"/>
      <c r="B263" s="1" t="n"/>
      <c r="C263" s="1" t="n"/>
      <c r="D263" s="1" t="n"/>
      <c r="E263" s="1" t="n"/>
      <c r="F263" s="1" t="n"/>
    </row>
    <row r="264" ht="15.75" customHeight="1" s="177">
      <c r="A264" s="1" t="n"/>
      <c r="B264" s="1" t="n"/>
      <c r="C264" s="1" t="n"/>
      <c r="D264" s="1" t="n"/>
      <c r="E264" s="1" t="n"/>
      <c r="F264" s="1" t="n"/>
    </row>
    <row r="265" ht="15.75" customHeight="1" s="177">
      <c r="A265" s="1" t="n"/>
      <c r="B265" s="1" t="n"/>
      <c r="C265" s="1" t="n"/>
      <c r="D265" s="1" t="n"/>
      <c r="E265" s="1" t="n"/>
      <c r="F265" s="1" t="n"/>
    </row>
    <row r="266" ht="15.75" customHeight="1" s="177">
      <c r="A266" s="1" t="n"/>
      <c r="B266" s="1" t="n"/>
      <c r="C266" s="1" t="n"/>
      <c r="D266" s="1" t="n"/>
      <c r="E266" s="1" t="n"/>
      <c r="F266" s="1" t="n"/>
    </row>
    <row r="267" ht="15.75" customHeight="1" s="177">
      <c r="A267" s="1" t="n"/>
      <c r="B267" s="1" t="n"/>
      <c r="C267" s="1" t="n"/>
      <c r="D267" s="1" t="n"/>
      <c r="E267" s="1" t="n"/>
      <c r="F267" s="1" t="n"/>
    </row>
    <row r="268" ht="15.75" customHeight="1" s="177">
      <c r="A268" s="1" t="n"/>
      <c r="B268" s="1" t="n"/>
      <c r="C268" s="1" t="n"/>
      <c r="D268" s="1" t="n"/>
      <c r="E268" s="1" t="n"/>
      <c r="F268" s="1" t="n"/>
    </row>
    <row r="269" ht="15.75" customHeight="1" s="177">
      <c r="A269" s="1" t="n"/>
      <c r="B269" s="1" t="n"/>
      <c r="C269" s="1" t="n"/>
      <c r="D269" s="1" t="n"/>
      <c r="E269" s="1" t="n"/>
      <c r="F269" s="1" t="n"/>
    </row>
    <row r="270" ht="15.75" customHeight="1" s="177">
      <c r="A270" s="1" t="n"/>
      <c r="B270" s="1" t="n"/>
      <c r="C270" s="1" t="n"/>
      <c r="D270" s="1" t="n"/>
      <c r="E270" s="1" t="n"/>
      <c r="F270" s="1" t="n"/>
    </row>
    <row r="271" ht="15.75" customHeight="1" s="177">
      <c r="A271" s="1" t="n"/>
      <c r="B271" s="1" t="n"/>
      <c r="C271" s="1" t="n"/>
      <c r="D271" s="1" t="n"/>
      <c r="E271" s="1" t="n"/>
      <c r="F271" s="1" t="n"/>
    </row>
    <row r="272" ht="15.75" customHeight="1" s="177">
      <c r="A272" s="1" t="n"/>
      <c r="B272" s="1" t="n"/>
      <c r="C272" s="1" t="n"/>
      <c r="D272" s="1" t="n"/>
      <c r="E272" s="1" t="n"/>
      <c r="F272" s="1" t="n"/>
    </row>
    <row r="273" ht="15.75" customHeight="1" s="177">
      <c r="A273" s="1" t="n"/>
      <c r="B273" s="1" t="n"/>
      <c r="C273" s="1" t="n"/>
      <c r="D273" s="1" t="n"/>
      <c r="E273" s="1" t="n"/>
      <c r="F273" s="1" t="n"/>
    </row>
    <row r="274" ht="15.75" customHeight="1" s="177">
      <c r="A274" s="1" t="n"/>
      <c r="B274" s="1" t="n"/>
      <c r="C274" s="1" t="n"/>
      <c r="D274" s="1" t="n"/>
      <c r="E274" s="1" t="n"/>
      <c r="F274" s="1" t="n"/>
    </row>
    <row r="275" ht="15.75" customHeight="1" s="177">
      <c r="A275" s="1" t="n"/>
      <c r="B275" s="1" t="n"/>
      <c r="C275" s="1" t="n"/>
      <c r="D275" s="1" t="n"/>
      <c r="E275" s="1" t="n"/>
      <c r="F275" s="1" t="n"/>
    </row>
    <row r="276" ht="15.75" customHeight="1" s="177">
      <c r="A276" s="1" t="n"/>
      <c r="B276" s="1" t="n"/>
      <c r="C276" s="1" t="n"/>
      <c r="D276" s="1" t="n"/>
      <c r="E276" s="1" t="n"/>
      <c r="F276" s="1" t="n"/>
    </row>
    <row r="277" ht="15.75" customHeight="1" s="177">
      <c r="A277" s="1" t="n"/>
      <c r="B277" s="1" t="n"/>
      <c r="C277" s="1" t="n"/>
      <c r="D277" s="1" t="n"/>
      <c r="E277" s="1" t="n"/>
      <c r="F277" s="1" t="n"/>
    </row>
    <row r="278" ht="15.75" customHeight="1" s="177">
      <c r="A278" s="1" t="n"/>
      <c r="B278" s="1" t="n"/>
      <c r="C278" s="1" t="n"/>
      <c r="D278" s="1" t="n"/>
      <c r="E278" s="1" t="n"/>
      <c r="F278" s="1" t="n"/>
    </row>
    <row r="279" ht="15.75" customHeight="1" s="177">
      <c r="A279" s="1" t="n"/>
      <c r="B279" s="1" t="n"/>
      <c r="C279" s="1" t="n"/>
      <c r="D279" s="1" t="n"/>
      <c r="E279" s="1" t="n"/>
      <c r="F279" s="1" t="n"/>
    </row>
    <row r="280" ht="15.75" customHeight="1" s="177">
      <c r="A280" s="1" t="n"/>
      <c r="B280" s="1" t="n"/>
      <c r="C280" s="1" t="n"/>
      <c r="D280" s="1" t="n"/>
      <c r="E280" s="1" t="n"/>
      <c r="F280" s="1" t="n"/>
    </row>
    <row r="281" ht="15.75" customHeight="1" s="177">
      <c r="A281" s="1" t="n"/>
      <c r="B281" s="1" t="n"/>
      <c r="C281" s="1" t="n"/>
      <c r="D281" s="1" t="n"/>
      <c r="E281" s="1" t="n"/>
      <c r="F281" s="1" t="n"/>
    </row>
    <row r="282" ht="15.75" customHeight="1" s="177">
      <c r="A282" s="1" t="n"/>
      <c r="B282" s="1" t="n"/>
      <c r="C282" s="1" t="n"/>
      <c r="D282" s="1" t="n"/>
      <c r="E282" s="1" t="n"/>
      <c r="F282" s="1" t="n"/>
    </row>
    <row r="283" ht="15.75" customHeight="1" s="177">
      <c r="A283" s="1" t="n"/>
      <c r="B283" s="1" t="n"/>
      <c r="C283" s="1" t="n"/>
      <c r="D283" s="1" t="n"/>
      <c r="E283" s="1" t="n"/>
      <c r="F283" s="1" t="n"/>
    </row>
    <row r="284" ht="15.75" customHeight="1" s="177">
      <c r="A284" s="1" t="n"/>
      <c r="B284" s="1" t="n"/>
      <c r="C284" s="1" t="n"/>
      <c r="D284" s="1" t="n"/>
      <c r="E284" s="1" t="n"/>
      <c r="F284" s="1" t="n"/>
    </row>
    <row r="285" ht="15.75" customHeight="1" s="177">
      <c r="A285" s="1" t="n"/>
      <c r="B285" s="1" t="n"/>
      <c r="C285" s="1" t="n"/>
      <c r="D285" s="1" t="n"/>
      <c r="E285" s="1" t="n"/>
      <c r="F285" s="1" t="n"/>
    </row>
    <row r="286" ht="15.75" customHeight="1" s="177">
      <c r="A286" s="1" t="n"/>
      <c r="B286" s="1" t="n"/>
      <c r="C286" s="1" t="n"/>
      <c r="D286" s="1" t="n"/>
      <c r="E286" s="1" t="n"/>
      <c r="F286" s="1" t="n"/>
    </row>
    <row r="287" ht="15.75" customHeight="1" s="177">
      <c r="A287" s="1" t="n"/>
      <c r="B287" s="1" t="n"/>
      <c r="C287" s="1" t="n"/>
      <c r="D287" s="1" t="n"/>
      <c r="E287" s="1" t="n"/>
      <c r="F287" s="1" t="n"/>
    </row>
    <row r="288" ht="15.75" customHeight="1" s="177">
      <c r="A288" s="1" t="n"/>
      <c r="B288" s="1" t="n"/>
      <c r="C288" s="1" t="n"/>
      <c r="D288" s="1" t="n"/>
      <c r="E288" s="1" t="n"/>
      <c r="F288" s="1" t="n"/>
    </row>
    <row r="289" ht="15.75" customHeight="1" s="177">
      <c r="A289" s="1" t="n"/>
      <c r="B289" s="1" t="n"/>
      <c r="C289" s="1" t="n"/>
      <c r="D289" s="1" t="n"/>
      <c r="E289" s="1" t="n"/>
      <c r="F289" s="1" t="n"/>
    </row>
    <row r="290" ht="15.75" customHeight="1" s="177">
      <c r="A290" s="1" t="n"/>
      <c r="B290" s="1" t="n"/>
      <c r="C290" s="1" t="n"/>
      <c r="D290" s="1" t="n"/>
      <c r="E290" s="1" t="n"/>
      <c r="F290" s="1" t="n"/>
    </row>
    <row r="291" ht="15.75" customHeight="1" s="177">
      <c r="A291" s="1" t="n"/>
      <c r="B291" s="1" t="n"/>
      <c r="C291" s="1" t="n"/>
      <c r="D291" s="1" t="n"/>
      <c r="E291" s="1" t="n"/>
      <c r="F291" s="1" t="n"/>
    </row>
    <row r="292" ht="15.75" customHeight="1" s="177">
      <c r="A292" s="1" t="n"/>
      <c r="B292" s="1" t="n"/>
      <c r="C292" s="1" t="n"/>
      <c r="D292" s="1" t="n"/>
      <c r="E292" s="1" t="n"/>
      <c r="F292" s="1" t="n"/>
    </row>
    <row r="293" ht="15.75" customHeight="1" s="177">
      <c r="A293" s="1" t="n"/>
      <c r="B293" s="1" t="n"/>
      <c r="C293" s="1" t="n"/>
      <c r="D293" s="1" t="n"/>
      <c r="E293" s="1" t="n"/>
      <c r="F293" s="1" t="n"/>
    </row>
    <row r="294" ht="15.75" customHeight="1" s="177">
      <c r="A294" s="1" t="n"/>
      <c r="B294" s="1" t="n"/>
      <c r="C294" s="1" t="n"/>
      <c r="D294" s="1" t="n"/>
      <c r="E294" s="1" t="n"/>
      <c r="F294" s="1" t="n"/>
    </row>
    <row r="295" ht="15.75" customHeight="1" s="177">
      <c r="A295" s="1" t="n"/>
      <c r="B295" s="1" t="n"/>
      <c r="C295" s="1" t="n"/>
      <c r="D295" s="1" t="n"/>
      <c r="E295" s="1" t="n"/>
      <c r="F295" s="1" t="n"/>
    </row>
    <row r="296" ht="15.75" customHeight="1" s="177">
      <c r="A296" s="1" t="n"/>
      <c r="B296" s="1" t="n"/>
      <c r="C296" s="1" t="n"/>
      <c r="D296" s="1" t="n"/>
      <c r="E296" s="1" t="n"/>
      <c r="F296" s="1" t="n"/>
    </row>
    <row r="297" ht="15.75" customHeight="1" s="177">
      <c r="A297" s="1" t="n"/>
      <c r="B297" s="1" t="n"/>
      <c r="C297" s="1" t="n"/>
      <c r="D297" s="1" t="n"/>
      <c r="E297" s="1" t="n"/>
      <c r="F297" s="1" t="n"/>
    </row>
    <row r="298" ht="15.75" customHeight="1" s="177">
      <c r="A298" s="1" t="n"/>
      <c r="B298" s="1" t="n"/>
      <c r="C298" s="1" t="n"/>
      <c r="D298" s="1" t="n"/>
      <c r="E298" s="1" t="n"/>
      <c r="F298" s="1" t="n"/>
    </row>
    <row r="299" ht="15.75" customHeight="1" s="177">
      <c r="A299" s="1" t="n"/>
      <c r="B299" s="1" t="n"/>
      <c r="C299" s="1" t="n"/>
      <c r="D299" s="1" t="n"/>
      <c r="E299" s="1" t="n"/>
      <c r="F299" s="1" t="n"/>
    </row>
    <row r="300" ht="15.75" customHeight="1" s="177">
      <c r="A300" s="1" t="n"/>
      <c r="B300" s="1" t="n"/>
      <c r="C300" s="1" t="n"/>
      <c r="D300" s="1" t="n"/>
      <c r="E300" s="1" t="n"/>
      <c r="F300" s="1" t="n"/>
    </row>
    <row r="301" ht="15.75" customHeight="1" s="177">
      <c r="A301" s="1" t="n"/>
      <c r="B301" s="1" t="n"/>
      <c r="C301" s="1" t="n"/>
      <c r="D301" s="1" t="n"/>
      <c r="E301" s="1" t="n"/>
      <c r="F301" s="1" t="n"/>
    </row>
    <row r="302" ht="15.75" customHeight="1" s="177">
      <c r="A302" s="1" t="n"/>
      <c r="B302" s="1" t="n"/>
      <c r="C302" s="1" t="n"/>
      <c r="D302" s="1" t="n"/>
      <c r="E302" s="1" t="n"/>
      <c r="F302" s="1" t="n"/>
    </row>
    <row r="303" ht="15.75" customHeight="1" s="177">
      <c r="A303" s="1" t="n"/>
      <c r="B303" s="1" t="n"/>
      <c r="C303" s="1" t="n"/>
      <c r="D303" s="1" t="n"/>
      <c r="E303" s="1" t="n"/>
      <c r="F303" s="1" t="n"/>
    </row>
    <row r="304" ht="15.75" customHeight="1" s="177">
      <c r="A304" s="1" t="n"/>
      <c r="B304" s="1" t="n"/>
      <c r="C304" s="1" t="n"/>
      <c r="D304" s="1" t="n"/>
      <c r="E304" s="1" t="n"/>
      <c r="F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n"/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20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26" t="n"/>
      <c r="C3" s="28" t="n"/>
      <c r="D3" s="29" t="n"/>
      <c r="E3" s="26" t="n"/>
      <c r="F3" s="28" t="n"/>
      <c r="G3" s="31" t="n"/>
      <c r="H3" s="26" t="n"/>
      <c r="I3" s="28" t="n"/>
      <c r="J3" s="31" t="n"/>
      <c r="K3" s="38" t="n"/>
      <c r="L3" s="39" t="n"/>
      <c r="M3" s="34" t="n"/>
      <c r="N3" s="34" t="n"/>
      <c r="O3" s="34" t="n"/>
      <c r="P3" s="40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41" t="n"/>
      <c r="C4" s="42" t="n"/>
      <c r="D4" s="43" t="n"/>
      <c r="E4" s="41" t="n"/>
      <c r="F4" s="42" t="n"/>
      <c r="G4" s="44" t="n"/>
      <c r="H4" s="41" t="n"/>
      <c r="I4" s="42" t="n"/>
      <c r="J4" s="44" t="n"/>
      <c r="K4" s="45" t="n"/>
      <c r="L4" s="46" t="n"/>
      <c r="M4" s="164" t="n"/>
      <c r="N4" s="164" t="n"/>
      <c r="O4" s="164" t="n"/>
      <c r="P4" s="48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41" t="n"/>
      <c r="C5" s="42" t="n"/>
      <c r="D5" s="43" t="n"/>
      <c r="E5" s="41" t="n"/>
      <c r="F5" s="42" t="n"/>
      <c r="G5" s="44" t="n"/>
      <c r="H5" s="41" t="n"/>
      <c r="I5" s="42" t="n"/>
      <c r="J5" s="44" t="n"/>
      <c r="K5" s="45" t="n"/>
      <c r="L5" s="46" t="n"/>
      <c r="M5" s="164" t="n"/>
      <c r="N5" s="164" t="n"/>
      <c r="O5" s="164" t="n"/>
      <c r="P5" s="48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41" t="n"/>
      <c r="C6" s="49" t="n"/>
      <c r="D6" s="50" t="n"/>
      <c r="E6" s="41" t="n"/>
      <c r="F6" s="49" t="n"/>
      <c r="G6" s="44" t="n"/>
      <c r="H6" s="41" t="n"/>
      <c r="I6" s="49" t="n"/>
      <c r="J6" s="44" t="n"/>
      <c r="K6" s="45" t="n"/>
      <c r="L6" s="46" t="n"/>
      <c r="M6" s="164" t="n"/>
      <c r="N6" s="164" t="n"/>
      <c r="O6" s="164" t="n"/>
      <c r="P6" s="48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51" t="n"/>
      <c r="C7" s="52" t="n"/>
      <c r="D7" s="48" t="n"/>
      <c r="E7" s="51" t="n"/>
      <c r="F7" s="52" t="n"/>
      <c r="G7" s="48" t="n"/>
      <c r="H7" s="51" t="n"/>
      <c r="I7" s="52" t="n"/>
      <c r="J7" s="48" t="n"/>
      <c r="K7" s="53" t="n"/>
      <c r="L7" s="54" t="n"/>
      <c r="M7" s="164" t="n"/>
      <c r="N7" s="164" t="n"/>
      <c r="O7" s="164" t="n"/>
      <c r="P7" s="4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54" t="n"/>
      <c r="M8" s="164" t="n"/>
      <c r="N8" s="164" t="n"/>
      <c r="O8" s="164" t="n"/>
      <c r="P8" s="4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65" t="n"/>
      <c r="M9" s="66" t="n"/>
      <c r="N9" s="66" t="n"/>
      <c r="O9" s="66" t="n"/>
      <c r="P9" s="70">
        <f>SUMPRODUCT(VALUE(K3:K7))-(SUM(L3:L7))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26" t="n"/>
      <c r="C10" s="28" t="n"/>
      <c r="D10" s="29" t="n"/>
      <c r="E10" s="26" t="n"/>
      <c r="F10" s="28" t="n"/>
      <c r="G10" s="31" t="n"/>
      <c r="H10" s="26" t="n"/>
      <c r="I10" s="28" t="n"/>
      <c r="J10" s="31" t="n"/>
      <c r="K10" s="38" t="n"/>
      <c r="L10" s="39" t="n"/>
      <c r="M10" s="34" t="n"/>
      <c r="N10" s="34" t="n"/>
      <c r="O10" s="34" t="n"/>
      <c r="P10" s="72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41" t="n"/>
      <c r="C11" s="42" t="n"/>
      <c r="D11" s="43" t="n"/>
      <c r="E11" s="41" t="n"/>
      <c r="F11" s="42" t="n"/>
      <c r="G11" s="44" t="n"/>
      <c r="H11" s="41" t="n"/>
      <c r="I11" s="42" t="n"/>
      <c r="J11" s="44" t="n"/>
      <c r="K11" s="45" t="n"/>
      <c r="L11" s="46" t="n"/>
      <c r="M11" s="164" t="n"/>
      <c r="N11" s="164" t="n"/>
      <c r="O11" s="164" t="n"/>
      <c r="P11" s="4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41" t="n"/>
      <c r="C12" s="42" t="n"/>
      <c r="D12" s="43" t="n"/>
      <c r="E12" s="41" t="n"/>
      <c r="F12" s="42" t="n"/>
      <c r="G12" s="44" t="n"/>
      <c r="H12" s="41" t="n"/>
      <c r="I12" s="42" t="n"/>
      <c r="J12" s="44" t="n"/>
      <c r="K12" s="45" t="n"/>
      <c r="L12" s="46" t="n"/>
      <c r="M12" s="164" t="n"/>
      <c r="N12" s="164" t="n"/>
      <c r="O12" s="164" t="n"/>
      <c r="P12" s="48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41" t="n"/>
      <c r="C13" s="49" t="n"/>
      <c r="D13" s="50" t="n"/>
      <c r="E13" s="41" t="n"/>
      <c r="F13" s="49" t="n"/>
      <c r="G13" s="44" t="n"/>
      <c r="H13" s="41" t="n"/>
      <c r="I13" s="49" t="n"/>
      <c r="J13" s="44" t="n"/>
      <c r="K13" s="45" t="n"/>
      <c r="L13" s="46" t="n"/>
      <c r="M13" s="164" t="n"/>
      <c r="N13" s="164" t="n"/>
      <c r="O13" s="164" t="n"/>
      <c r="P13" s="48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51" t="n"/>
      <c r="C14" s="52" t="n"/>
      <c r="D14" s="48" t="n"/>
      <c r="E14" s="51" t="n"/>
      <c r="F14" s="52" t="n"/>
      <c r="G14" s="48" t="n"/>
      <c r="H14" s="51" t="n"/>
      <c r="I14" s="52" t="n"/>
      <c r="J14" s="48" t="n"/>
      <c r="K14" s="53" t="n"/>
      <c r="L14" s="54" t="n"/>
      <c r="M14" s="164" t="n"/>
      <c r="N14" s="164" t="n"/>
      <c r="O14" s="164" t="n"/>
      <c r="P14" s="48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n"/>
      <c r="C17" s="28" t="n"/>
      <c r="D17" s="29" t="n"/>
      <c r="E17" s="26" t="n"/>
      <c r="F17" s="28" t="n"/>
      <c r="G17" s="31" t="n"/>
      <c r="H17" s="26" t="n"/>
      <c r="I17" s="28" t="n"/>
      <c r="J17" s="31" t="n"/>
      <c r="K17" s="38" t="n"/>
      <c r="L17" s="39" t="n"/>
      <c r="M17" s="34" t="n"/>
      <c r="N17" s="34" t="n"/>
      <c r="O17" s="34" t="n"/>
      <c r="P17" s="72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n"/>
      <c r="C18" s="42" t="n"/>
      <c r="D18" s="43" t="n"/>
      <c r="E18" s="41" t="n"/>
      <c r="F18" s="42" t="n"/>
      <c r="G18" s="44" t="n"/>
      <c r="H18" s="41" t="n"/>
      <c r="I18" s="42" t="n"/>
      <c r="J18" s="44" t="n"/>
      <c r="K18" s="45" t="n"/>
      <c r="L18" s="46" t="n"/>
      <c r="M18" s="164" t="n"/>
      <c r="N18" s="164" t="n"/>
      <c r="O18" s="164" t="n"/>
      <c r="P18" s="48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n"/>
      <c r="C19" s="42" t="n"/>
      <c r="D19" s="43" t="n"/>
      <c r="E19" s="41" t="n"/>
      <c r="F19" s="42" t="n"/>
      <c r="G19" s="44" t="n"/>
      <c r="H19" s="41" t="n"/>
      <c r="I19" s="42" t="n"/>
      <c r="J19" s="44" t="n"/>
      <c r="K19" s="45" t="n"/>
      <c r="L19" s="46" t="n"/>
      <c r="M19" s="164" t="n"/>
      <c r="N19" s="164" t="n"/>
      <c r="O19" s="164" t="n"/>
      <c r="P19" s="48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n"/>
      <c r="C20" s="49" t="n"/>
      <c r="D20" s="50" t="n"/>
      <c r="E20" s="41" t="n"/>
      <c r="F20" s="49" t="n"/>
      <c r="G20" s="44" t="n"/>
      <c r="H20" s="41" t="n"/>
      <c r="I20" s="49" t="n"/>
      <c r="J20" s="44" t="n"/>
      <c r="K20" s="45" t="n"/>
      <c r="L20" s="46" t="n"/>
      <c r="M20" s="164" t="n"/>
      <c r="N20" s="164" t="n"/>
      <c r="O20" s="164" t="n"/>
      <c r="P20" s="48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ALEJANDRO RAMOS MAYEN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89" t="inlineStr">
        <is>
          <t>06:37:00</t>
        </is>
      </c>
      <c r="C3" s="90" t="inlineStr">
        <is>
          <t>10:51:00</t>
        </is>
      </c>
      <c r="D3" s="91" t="inlineStr">
        <is>
          <t>04:14:00</t>
        </is>
      </c>
      <c r="E3" s="89" t="n"/>
      <c r="F3" s="90" t="n"/>
      <c r="G3" s="91" t="n"/>
      <c r="H3" s="89" t="n"/>
      <c r="I3" s="90" t="n"/>
      <c r="J3" s="91" t="n"/>
      <c r="K3" s="92" t="inlineStr">
        <is>
          <t>04:14:00</t>
        </is>
      </c>
      <c r="L3" s="172" t="n">
        <v>0.009722222222222222</v>
      </c>
      <c r="M3" s="96" t="n"/>
      <c r="N3" s="96" t="n"/>
      <c r="O3" s="96" t="n"/>
      <c r="P3" s="98" t="n">
        <v>12.40112268518519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00" t="inlineStr">
        <is>
          <t>06:30:00</t>
        </is>
      </c>
      <c r="C4" s="101" t="inlineStr">
        <is>
          <t>10:59:00</t>
        </is>
      </c>
      <c r="D4" s="103" t="inlineStr">
        <is>
          <t>04:29:00</t>
        </is>
      </c>
      <c r="E4" s="100" t="n"/>
      <c r="F4" s="101" t="n"/>
      <c r="G4" s="103" t="n"/>
      <c r="H4" s="100" t="n"/>
      <c r="I4" s="101" t="n"/>
      <c r="J4" s="103" t="n"/>
      <c r="K4" s="104" t="inlineStr">
        <is>
          <t>04:29:00</t>
        </is>
      </c>
      <c r="L4" s="173" t="n">
        <v>0.02013888888888889</v>
      </c>
      <c r="M4" s="164" t="n"/>
      <c r="N4" s="164" t="n"/>
      <c r="O4" s="164" t="n"/>
      <c r="P4" s="106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00" t="inlineStr">
        <is>
          <t>07:03:00</t>
        </is>
      </c>
      <c r="C5" s="101" t="inlineStr">
        <is>
          <t>10:49:00</t>
        </is>
      </c>
      <c r="D5" s="103" t="inlineStr">
        <is>
          <t>03:46:00</t>
        </is>
      </c>
      <c r="E5" s="100" t="n"/>
      <c r="F5" s="101" t="n"/>
      <c r="G5" s="103" t="n"/>
      <c r="H5" s="100" t="n"/>
      <c r="I5" s="101" t="n"/>
      <c r="J5" s="103" t="n"/>
      <c r="K5" s="104" t="inlineStr">
        <is>
          <t>03:46:00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00" t="inlineStr">
        <is>
          <t>06:24:00</t>
        </is>
      </c>
      <c r="C6" s="101" t="inlineStr">
        <is>
          <t>11:30:00</t>
        </is>
      </c>
      <c r="D6" s="103" t="inlineStr">
        <is>
          <t>05:06:00</t>
        </is>
      </c>
      <c r="E6" s="100" t="n"/>
      <c r="F6" s="101" t="n"/>
      <c r="G6" s="103" t="n"/>
      <c r="H6" s="100" t="n"/>
      <c r="I6" s="101" t="n"/>
      <c r="J6" s="103" t="n"/>
      <c r="K6" s="104" t="inlineStr">
        <is>
          <t>05:06:00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12" t="inlineStr">
        <is>
          <t>06:32:00</t>
        </is>
      </c>
      <c r="C7" s="113" t="inlineStr">
        <is>
          <t>10:50:00</t>
        </is>
      </c>
      <c r="D7" s="114" t="inlineStr">
        <is>
          <t>04:18:00</t>
        </is>
      </c>
      <c r="E7" s="112" t="n"/>
      <c r="F7" s="113" t="n"/>
      <c r="G7" s="114" t="n"/>
      <c r="H7" s="112" t="n"/>
      <c r="I7" s="113" t="n"/>
      <c r="J7" s="114" t="n"/>
      <c r="K7" s="115" t="inlineStr">
        <is>
          <t>04:18:00</t>
        </is>
      </c>
      <c r="L7" s="174" t="n">
        <v>0.0125</v>
      </c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118" t="n"/>
      <c r="C8" s="118" t="n"/>
      <c r="D8" s="119" t="n"/>
      <c r="E8" s="118" t="n"/>
      <c r="F8" s="118" t="n"/>
      <c r="G8" s="119" t="n"/>
      <c r="H8" s="118" t="n"/>
      <c r="I8" s="118" t="n"/>
      <c r="J8" s="119" t="n"/>
      <c r="K8" s="119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121" t="n"/>
      <c r="C9" s="121" t="n"/>
      <c r="D9" s="64" t="n"/>
      <c r="E9" s="121" t="n"/>
      <c r="F9" s="121" t="n"/>
      <c r="G9" s="64" t="n"/>
      <c r="H9" s="121" t="n"/>
      <c r="I9" s="121" t="n"/>
      <c r="J9" s="64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93" t="inlineStr">
        <is>
          <t>06:50:28</t>
        </is>
      </c>
      <c r="C10" s="95" t="inlineStr">
        <is>
          <t>11:00:41</t>
        </is>
      </c>
      <c r="D10" s="97" t="inlineStr">
        <is>
          <t>04:10:13</t>
        </is>
      </c>
      <c r="E10" s="93" t="n"/>
      <c r="F10" s="95" t="n"/>
      <c r="G10" s="97" t="n"/>
      <c r="H10" s="93" t="n"/>
      <c r="I10" s="95" t="n"/>
      <c r="J10" s="97" t="n"/>
      <c r="K10" s="109" t="inlineStr">
        <is>
          <t>04:10:13</t>
        </is>
      </c>
      <c r="L10" s="126" t="n">
        <v>0.007094907407407407</v>
      </c>
      <c r="M10" s="34" t="n"/>
      <c r="N10" s="34" t="inlineStr">
        <is>
          <t>Tiempo no justificado</t>
        </is>
      </c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28" t="inlineStr">
        <is>
          <t>06:35:58</t>
        </is>
      </c>
      <c r="C11" s="129" t="inlineStr">
        <is>
          <t>11:01:41</t>
        </is>
      </c>
      <c r="D11" s="130" t="inlineStr">
        <is>
          <t>04:25:43</t>
        </is>
      </c>
      <c r="E11" s="128" t="n"/>
      <c r="F11" s="129" t="n"/>
      <c r="G11" s="130" t="n"/>
      <c r="H11" s="128" t="n"/>
      <c r="I11" s="129" t="n"/>
      <c r="J11" s="130" t="n"/>
      <c r="K11" s="117" t="inlineStr">
        <is>
          <t>04:25:43</t>
        </is>
      </c>
      <c r="L11" s="132" t="n">
        <v>0.01736111111111111</v>
      </c>
      <c r="M11" s="164" t="n"/>
      <c r="N11" s="164" t="inlineStr">
        <is>
          <t>Tiempo no justificado</t>
        </is>
      </c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28" t="inlineStr">
        <is>
          <t>06:38:11</t>
        </is>
      </c>
      <c r="C12" s="129" t="inlineStr">
        <is>
          <t>11:00:00</t>
        </is>
      </c>
      <c r="D12" s="130" t="inlineStr">
        <is>
          <t>00:00:00</t>
        </is>
      </c>
      <c r="E12" s="128" t="inlineStr">
        <is>
          <t>06:39:23</t>
        </is>
      </c>
      <c r="F12" s="129" t="inlineStr">
        <is>
          <t>11:00:16</t>
        </is>
      </c>
      <c r="G12" s="130" t="inlineStr">
        <is>
          <t>04:20:53</t>
        </is>
      </c>
      <c r="H12" s="128" t="n"/>
      <c r="I12" s="129" t="n"/>
      <c r="J12" s="130" t="n"/>
      <c r="K12" s="117" t="inlineStr">
        <is>
          <t>04:20:53</t>
        </is>
      </c>
      <c r="L12" s="132" t="n">
        <v>0.01388888888888889</v>
      </c>
      <c r="M12" s="164" t="n"/>
      <c r="N12" s="164" t="inlineStr">
        <is>
          <t>Tiempo no justificado</t>
        </is>
      </c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28" t="inlineStr">
        <is>
          <t>06:40:44</t>
        </is>
      </c>
      <c r="C13" s="129" t="inlineStr">
        <is>
          <t>11:00:38</t>
        </is>
      </c>
      <c r="D13" s="130" t="inlineStr">
        <is>
          <t>04:19:54</t>
        </is>
      </c>
      <c r="E13" s="128" t="n"/>
      <c r="F13" s="129" t="n"/>
      <c r="G13" s="130" t="n"/>
      <c r="H13" s="128" t="n"/>
      <c r="I13" s="129" t="n"/>
      <c r="J13" s="130" t="n"/>
      <c r="K13" s="117" t="inlineStr">
        <is>
          <t>04:19:54</t>
        </is>
      </c>
      <c r="L13" s="132" t="n">
        <v>0.01319444444444444</v>
      </c>
      <c r="M13" s="164" t="n"/>
      <c r="N13" s="164" t="inlineStr">
        <is>
          <t>Tiempo no justificado</t>
        </is>
      </c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34" t="inlineStr">
        <is>
          <t>06:35:47</t>
        </is>
      </c>
      <c r="C14" s="135" t="inlineStr">
        <is>
          <t>11:03:39</t>
        </is>
      </c>
      <c r="D14" s="136" t="inlineStr">
        <is>
          <t>04:27:52</t>
        </is>
      </c>
      <c r="E14" s="134" t="n"/>
      <c r="F14" s="135" t="n"/>
      <c r="G14" s="136" t="n"/>
      <c r="H14" s="134" t="n"/>
      <c r="I14" s="135" t="n"/>
      <c r="J14" s="136" t="n"/>
      <c r="K14" s="124" t="inlineStr">
        <is>
          <t>04:27:52</t>
        </is>
      </c>
      <c r="L14" s="137" t="n">
        <v>0.01875</v>
      </c>
      <c r="M14" s="164" t="n"/>
      <c r="N14" s="164" t="inlineStr">
        <is>
          <t>Tiempo no justificado</t>
        </is>
      </c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118" t="n"/>
      <c r="C15" s="118" t="n"/>
      <c r="D15" s="119" t="n"/>
      <c r="E15" s="118" t="n"/>
      <c r="F15" s="118" t="n"/>
      <c r="G15" s="119" t="n"/>
      <c r="H15" s="118" t="n"/>
      <c r="I15" s="118" t="n"/>
      <c r="J15" s="119" t="n"/>
      <c r="K15" s="119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121" t="n"/>
      <c r="C16" s="121" t="n"/>
      <c r="D16" s="64" t="n"/>
      <c r="E16" s="121" t="n"/>
      <c r="F16" s="121" t="n"/>
      <c r="G16" s="64" t="n"/>
      <c r="H16" s="121" t="n"/>
      <c r="I16" s="121" t="n"/>
      <c r="J16" s="64" t="n"/>
      <c r="K16" s="64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93" t="inlineStr">
        <is>
          <t>06:41:26</t>
        </is>
      </c>
      <c r="C17" s="95" t="inlineStr">
        <is>
          <t>11:11:45</t>
        </is>
      </c>
      <c r="D17" s="97" t="inlineStr">
        <is>
          <t>04:30:19</t>
        </is>
      </c>
      <c r="E17" s="93" t="n"/>
      <c r="F17" s="95" t="n"/>
      <c r="G17" s="97" t="n"/>
      <c r="H17" s="93" t="n"/>
      <c r="I17" s="95" t="n"/>
      <c r="J17" s="97" t="n"/>
      <c r="K17" s="109" t="inlineStr">
        <is>
          <t>04:30:19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128" t="inlineStr">
        <is>
          <t>07:17:28</t>
        </is>
      </c>
      <c r="C18" s="129" t="inlineStr">
        <is>
          <t>11:00:12</t>
        </is>
      </c>
      <c r="D18" s="130" t="inlineStr">
        <is>
          <t>03:42:44</t>
        </is>
      </c>
      <c r="E18" s="128" t="n"/>
      <c r="F18" s="129" t="n"/>
      <c r="G18" s="130" t="n"/>
      <c r="H18" s="128" t="n"/>
      <c r="I18" s="129" t="n"/>
      <c r="J18" s="130" t="n"/>
      <c r="K18" s="117" t="inlineStr">
        <is>
          <t>03:42:44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128" t="inlineStr">
        <is>
          <t>06:33:55</t>
        </is>
      </c>
      <c r="C19" s="129" t="inlineStr">
        <is>
          <t>11:02:46</t>
        </is>
      </c>
      <c r="D19" s="130" t="inlineStr">
        <is>
          <t>04:28:51</t>
        </is>
      </c>
      <c r="E19" s="128" t="n"/>
      <c r="F19" s="129" t="n"/>
      <c r="G19" s="130" t="n"/>
      <c r="H19" s="128" t="n"/>
      <c r="I19" s="129" t="n"/>
      <c r="J19" s="130" t="n"/>
      <c r="K19" s="117" t="inlineStr">
        <is>
          <t>04:28:51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128" t="inlineStr">
        <is>
          <t>07:07:25</t>
        </is>
      </c>
      <c r="C20" s="129" t="inlineStr">
        <is>
          <t>11:00:11</t>
        </is>
      </c>
      <c r="D20" s="130" t="inlineStr">
        <is>
          <t>03:52:46</t>
        </is>
      </c>
      <c r="E20" s="128" t="n"/>
      <c r="F20" s="129" t="n"/>
      <c r="G20" s="130" t="n"/>
      <c r="H20" s="128" t="n"/>
      <c r="I20" s="129" t="n"/>
      <c r="J20" s="130" t="n"/>
      <c r="K20" s="117" t="inlineStr">
        <is>
          <t>03:52:46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134" t="n"/>
      <c r="C21" s="135" t="n"/>
      <c r="D21" s="136" t="n"/>
      <c r="E21" s="134" t="n"/>
      <c r="F21" s="135" t="n"/>
      <c r="G21" s="136" t="n"/>
      <c r="H21" s="134" t="n"/>
      <c r="I21" s="135" t="n"/>
      <c r="J21" s="136" t="n"/>
      <c r="K21" s="124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118" t="n"/>
      <c r="C22" s="118" t="n"/>
      <c r="D22" s="119" t="n"/>
      <c r="E22" s="118" t="n"/>
      <c r="F22" s="118" t="n"/>
      <c r="G22" s="119" t="n"/>
      <c r="H22" s="118" t="n"/>
      <c r="I22" s="118" t="n"/>
      <c r="J22" s="119" t="n"/>
      <c r="K22" s="119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121" t="n"/>
      <c r="C23" s="121" t="n"/>
      <c r="D23" s="64" t="n"/>
      <c r="E23" s="121" t="n"/>
      <c r="F23" s="121" t="n"/>
      <c r="G23" s="64" t="n"/>
      <c r="H23" s="121" t="n"/>
      <c r="I23" s="121" t="n"/>
      <c r="J23" s="64" t="n"/>
      <c r="K23" s="64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93" t="n"/>
      <c r="C24" s="95" t="n"/>
      <c r="D24" s="97" t="n"/>
      <c r="E24" s="93" t="n"/>
      <c r="F24" s="95" t="n"/>
      <c r="G24" s="97" t="n"/>
      <c r="H24" s="93" t="n"/>
      <c r="I24" s="95" t="n"/>
      <c r="J24" s="97" t="n"/>
      <c r="K24" s="109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128" t="n"/>
      <c r="C25" s="129" t="n"/>
      <c r="D25" s="130" t="n"/>
      <c r="E25" s="128" t="n"/>
      <c r="F25" s="129" t="n"/>
      <c r="G25" s="130" t="n"/>
      <c r="H25" s="128" t="n"/>
      <c r="I25" s="129" t="n"/>
      <c r="J25" s="130" t="n"/>
      <c r="K25" s="117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128" t="n"/>
      <c r="C26" s="129" t="n"/>
      <c r="D26" s="130" t="n"/>
      <c r="E26" s="128" t="n"/>
      <c r="F26" s="129" t="n"/>
      <c r="G26" s="130" t="n"/>
      <c r="H26" s="128" t="n"/>
      <c r="I26" s="129" t="n"/>
      <c r="J26" s="130" t="n"/>
      <c r="K26" s="117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128" t="n"/>
      <c r="C27" s="129" t="n"/>
      <c r="D27" s="130" t="n"/>
      <c r="E27" s="128" t="n"/>
      <c r="F27" s="129" t="n"/>
      <c r="G27" s="130" t="n"/>
      <c r="H27" s="128" t="n"/>
      <c r="I27" s="129" t="n"/>
      <c r="J27" s="130" t="n"/>
      <c r="K27" s="117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134" t="n"/>
      <c r="C28" s="135" t="n"/>
      <c r="D28" s="136" t="n"/>
      <c r="E28" s="134" t="n"/>
      <c r="F28" s="135" t="n"/>
      <c r="G28" s="136" t="n"/>
      <c r="H28" s="134" t="n"/>
      <c r="I28" s="135" t="n"/>
      <c r="J28" s="136" t="n"/>
      <c r="K28" s="124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118" t="n"/>
      <c r="C29" s="118" t="n"/>
      <c r="D29" s="119" t="n"/>
      <c r="E29" s="118" t="n"/>
      <c r="F29" s="118" t="n"/>
      <c r="G29" s="119" t="n"/>
      <c r="H29" s="118" t="n"/>
      <c r="I29" s="118" t="n"/>
      <c r="J29" s="119" t="n"/>
      <c r="K29" s="119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121" t="n"/>
      <c r="C30" s="121" t="n"/>
      <c r="D30" s="64" t="n"/>
      <c r="E30" s="121" t="n"/>
      <c r="F30" s="121" t="n"/>
      <c r="G30" s="64" t="n"/>
      <c r="H30" s="121" t="n"/>
      <c r="I30" s="121" t="n"/>
      <c r="J30" s="64" t="n"/>
      <c r="K30" s="64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93" t="n"/>
      <c r="C31" s="95" t="n"/>
      <c r="D31" s="97" t="n"/>
      <c r="E31" s="93" t="n"/>
      <c r="F31" s="95" t="n"/>
      <c r="G31" s="97" t="n"/>
      <c r="H31" s="93" t="n"/>
      <c r="I31" s="95" t="n"/>
      <c r="J31" s="97" t="n"/>
      <c r="K31" s="109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128" t="n"/>
      <c r="C32" s="129" t="n"/>
      <c r="D32" s="130" t="n"/>
      <c r="E32" s="128" t="n"/>
      <c r="F32" s="129" t="n"/>
      <c r="G32" s="130" t="n"/>
      <c r="H32" s="128" t="n"/>
      <c r="I32" s="129" t="n"/>
      <c r="J32" s="130" t="n"/>
      <c r="K32" s="117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128" t="n"/>
      <c r="C33" s="129" t="n"/>
      <c r="D33" s="130" t="n"/>
      <c r="E33" s="128" t="n"/>
      <c r="F33" s="129" t="n"/>
      <c r="G33" s="130" t="n"/>
      <c r="H33" s="128" t="n"/>
      <c r="I33" s="129" t="n"/>
      <c r="J33" s="130" t="n"/>
      <c r="K33" s="117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128" t="n"/>
      <c r="C34" s="129" t="n"/>
      <c r="D34" s="130" t="n"/>
      <c r="E34" s="128" t="n"/>
      <c r="F34" s="129" t="n"/>
      <c r="G34" s="130" t="n"/>
      <c r="H34" s="128" t="n"/>
      <c r="I34" s="129" t="n"/>
      <c r="J34" s="130" t="n"/>
      <c r="K34" s="117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134" t="n"/>
      <c r="C35" s="135" t="n"/>
      <c r="D35" s="136" t="n"/>
      <c r="E35" s="134" t="n"/>
      <c r="F35" s="135" t="n"/>
      <c r="G35" s="136" t="n"/>
      <c r="H35" s="134" t="n"/>
      <c r="I35" s="135" t="n"/>
      <c r="J35" s="136" t="n"/>
      <c r="K35" s="124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118" t="n"/>
      <c r="C36" s="118" t="n"/>
      <c r="D36" s="119" t="n"/>
      <c r="E36" s="118" t="n"/>
      <c r="F36" s="118" t="n"/>
      <c r="G36" s="119" t="n"/>
      <c r="H36" s="118" t="n"/>
      <c r="I36" s="118" t="n"/>
      <c r="J36" s="119" t="n"/>
      <c r="K36" s="119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121" t="n"/>
      <c r="C37" s="121" t="n"/>
      <c r="D37" s="64" t="n"/>
      <c r="E37" s="121" t="n"/>
      <c r="F37" s="121" t="n"/>
      <c r="G37" s="64" t="n"/>
      <c r="H37" s="121" t="n"/>
      <c r="I37" s="121" t="n"/>
      <c r="J37" s="64" t="n"/>
      <c r="K37" s="64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93" t="n"/>
      <c r="C38" s="95" t="n"/>
      <c r="D38" s="97" t="n"/>
      <c r="E38" s="93" t="n"/>
      <c r="F38" s="95" t="n"/>
      <c r="G38" s="97" t="n"/>
      <c r="H38" s="93" t="n"/>
      <c r="I38" s="95" t="n"/>
      <c r="J38" s="97" t="n"/>
      <c r="K38" s="109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128" t="n"/>
      <c r="C39" s="129" t="n"/>
      <c r="D39" s="130" t="n"/>
      <c r="E39" s="128" t="n"/>
      <c r="F39" s="129" t="n"/>
      <c r="G39" s="130" t="n"/>
      <c r="H39" s="128" t="n"/>
      <c r="I39" s="129" t="n"/>
      <c r="J39" s="130" t="n"/>
      <c r="K39" s="117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128" t="n"/>
      <c r="C40" s="129" t="n"/>
      <c r="D40" s="130" t="n"/>
      <c r="E40" s="128" t="n"/>
      <c r="F40" s="129" t="n"/>
      <c r="G40" s="130" t="n"/>
      <c r="H40" s="128" t="n"/>
      <c r="I40" s="129" t="n"/>
      <c r="J40" s="130" t="n"/>
      <c r="K40" s="117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128" t="n"/>
      <c r="C41" s="129" t="n"/>
      <c r="D41" s="130" t="n"/>
      <c r="E41" s="128" t="n"/>
      <c r="F41" s="129" t="n"/>
      <c r="G41" s="130" t="n"/>
      <c r="H41" s="128" t="n"/>
      <c r="I41" s="129" t="n"/>
      <c r="J41" s="130" t="n"/>
      <c r="K41" s="117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134" t="n"/>
      <c r="C42" s="135" t="n"/>
      <c r="D42" s="136" t="n"/>
      <c r="E42" s="134" t="n"/>
      <c r="F42" s="135" t="n"/>
      <c r="G42" s="136" t="n"/>
      <c r="H42" s="134" t="n"/>
      <c r="I42" s="135" t="n"/>
      <c r="J42" s="136" t="n"/>
      <c r="K42" s="124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118" t="n"/>
      <c r="C43" s="118" t="n"/>
      <c r="D43" s="119" t="n"/>
      <c r="E43" s="118" t="n"/>
      <c r="F43" s="118" t="n"/>
      <c r="G43" s="119" t="n"/>
      <c r="H43" s="118" t="n"/>
      <c r="I43" s="118" t="n"/>
      <c r="J43" s="119" t="n"/>
      <c r="K43" s="119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121" t="n"/>
      <c r="C44" s="121" t="n"/>
      <c r="D44" s="64" t="n"/>
      <c r="E44" s="121" t="n"/>
      <c r="F44" s="121" t="n"/>
      <c r="G44" s="64" t="n"/>
      <c r="H44" s="121" t="n"/>
      <c r="I44" s="121" t="n"/>
      <c r="J44" s="64" t="n"/>
      <c r="K44" s="64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93" t="n"/>
      <c r="C45" s="95" t="n"/>
      <c r="D45" s="97" t="n"/>
      <c r="E45" s="93" t="n"/>
      <c r="F45" s="95" t="n"/>
      <c r="G45" s="97" t="n"/>
      <c r="H45" s="93" t="n"/>
      <c r="I45" s="95" t="n"/>
      <c r="J45" s="97" t="n"/>
      <c r="K45" s="109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128" t="n"/>
      <c r="C46" s="129" t="n"/>
      <c r="D46" s="130" t="n"/>
      <c r="E46" s="128" t="n"/>
      <c r="F46" s="129" t="n"/>
      <c r="G46" s="130" t="n"/>
      <c r="H46" s="128" t="n"/>
      <c r="I46" s="129" t="n"/>
      <c r="J46" s="130" t="n"/>
      <c r="K46" s="117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128" t="n"/>
      <c r="C47" s="129" t="n"/>
      <c r="D47" s="130" t="n"/>
      <c r="E47" s="128" t="n"/>
      <c r="F47" s="129" t="n"/>
      <c r="G47" s="130" t="n"/>
      <c r="H47" s="128" t="n"/>
      <c r="I47" s="129" t="n"/>
      <c r="J47" s="130" t="n"/>
      <c r="K47" s="117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128" t="n"/>
      <c r="C48" s="129" t="n"/>
      <c r="D48" s="130" t="n"/>
      <c r="E48" s="128" t="n"/>
      <c r="F48" s="129" t="n"/>
      <c r="G48" s="130" t="n"/>
      <c r="H48" s="128" t="n"/>
      <c r="I48" s="129" t="n"/>
      <c r="J48" s="130" t="n"/>
      <c r="K48" s="117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134" t="n"/>
      <c r="C49" s="135" t="n"/>
      <c r="D49" s="136" t="n"/>
      <c r="E49" s="134" t="n"/>
      <c r="F49" s="135" t="n"/>
      <c r="G49" s="136" t="n"/>
      <c r="H49" s="134" t="n"/>
      <c r="I49" s="135" t="n"/>
      <c r="J49" s="136" t="n"/>
      <c r="K49" s="124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118" t="n"/>
      <c r="C50" s="118" t="n"/>
      <c r="D50" s="119" t="n"/>
      <c r="E50" s="118" t="n"/>
      <c r="F50" s="118" t="n"/>
      <c r="G50" s="119" t="n"/>
      <c r="H50" s="118" t="n"/>
      <c r="I50" s="118" t="n"/>
      <c r="J50" s="119" t="n"/>
      <c r="K50" s="119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121" t="n"/>
      <c r="C51" s="121" t="n"/>
      <c r="D51" s="64" t="n"/>
      <c r="E51" s="121" t="n"/>
      <c r="F51" s="121" t="n"/>
      <c r="G51" s="64" t="n"/>
      <c r="H51" s="121" t="n"/>
      <c r="I51" s="121" t="n"/>
      <c r="J51" s="64" t="n"/>
      <c r="K51" s="64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93" t="n"/>
      <c r="C52" s="95" t="n"/>
      <c r="D52" s="97" t="n"/>
      <c r="E52" s="93" t="n"/>
      <c r="F52" s="95" t="n"/>
      <c r="G52" s="97" t="n"/>
      <c r="H52" s="93" t="n"/>
      <c r="I52" s="95" t="n"/>
      <c r="J52" s="97" t="n"/>
      <c r="K52" s="109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128" t="n"/>
      <c r="C53" s="129" t="n"/>
      <c r="D53" s="130" t="n"/>
      <c r="E53" s="128" t="n"/>
      <c r="F53" s="129" t="n"/>
      <c r="G53" s="130" t="n"/>
      <c r="H53" s="128" t="n"/>
      <c r="I53" s="129" t="n"/>
      <c r="J53" s="130" t="n"/>
      <c r="K53" s="117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128" t="n"/>
      <c r="C54" s="129" t="n"/>
      <c r="D54" s="130" t="n"/>
      <c r="E54" s="128" t="n"/>
      <c r="F54" s="129" t="n"/>
      <c r="G54" s="130" t="n"/>
      <c r="H54" s="128" t="n"/>
      <c r="I54" s="129" t="n"/>
      <c r="J54" s="130" t="n"/>
      <c r="K54" s="117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128" t="n"/>
      <c r="C55" s="129" t="n"/>
      <c r="D55" s="130" t="n"/>
      <c r="E55" s="128" t="n"/>
      <c r="F55" s="129" t="n"/>
      <c r="G55" s="130" t="n"/>
      <c r="H55" s="128" t="n"/>
      <c r="I55" s="129" t="n"/>
      <c r="J55" s="130" t="n"/>
      <c r="K55" s="117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134" t="n"/>
      <c r="C56" s="135" t="n"/>
      <c r="D56" s="136" t="n"/>
      <c r="E56" s="134" t="n"/>
      <c r="F56" s="135" t="n"/>
      <c r="G56" s="136" t="n"/>
      <c r="H56" s="134" t="n"/>
      <c r="I56" s="135" t="n"/>
      <c r="J56" s="136" t="n"/>
      <c r="K56" s="124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118" t="n"/>
      <c r="C57" s="118" t="n"/>
      <c r="D57" s="119" t="n"/>
      <c r="E57" s="118" t="n"/>
      <c r="F57" s="118" t="n"/>
      <c r="G57" s="119" t="n"/>
      <c r="H57" s="118" t="n"/>
      <c r="I57" s="118" t="n"/>
      <c r="J57" s="119" t="n"/>
      <c r="K57" s="119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121" t="n"/>
      <c r="C58" s="121" t="n"/>
      <c r="D58" s="64" t="n"/>
      <c r="E58" s="121" t="n"/>
      <c r="F58" s="121" t="n"/>
      <c r="G58" s="64" t="n"/>
      <c r="H58" s="121" t="n"/>
      <c r="I58" s="121" t="n"/>
      <c r="J58" s="64" t="n"/>
      <c r="K58" s="64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93" t="n"/>
      <c r="C59" s="95" t="n"/>
      <c r="D59" s="97" t="n"/>
      <c r="E59" s="93" t="n"/>
      <c r="F59" s="95" t="n"/>
      <c r="G59" s="97" t="n"/>
      <c r="H59" s="93" t="n"/>
      <c r="I59" s="95" t="n"/>
      <c r="J59" s="97" t="n"/>
      <c r="K59" s="109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128" t="n"/>
      <c r="C60" s="129" t="n"/>
      <c r="D60" s="130" t="n"/>
      <c r="E60" s="128" t="n"/>
      <c r="F60" s="129" t="n"/>
      <c r="G60" s="130" t="n"/>
      <c r="H60" s="128" t="n"/>
      <c r="I60" s="129" t="n"/>
      <c r="J60" s="130" t="n"/>
      <c r="K60" s="117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128" t="n"/>
      <c r="C61" s="129" t="n"/>
      <c r="D61" s="130" t="n"/>
      <c r="E61" s="128" t="n"/>
      <c r="F61" s="129" t="n"/>
      <c r="G61" s="130" t="n"/>
      <c r="H61" s="128" t="n"/>
      <c r="I61" s="129" t="n"/>
      <c r="J61" s="130" t="n"/>
      <c r="K61" s="117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128" t="n"/>
      <c r="C62" s="129" t="n"/>
      <c r="D62" s="130" t="n"/>
      <c r="E62" s="128" t="n"/>
      <c r="F62" s="129" t="n"/>
      <c r="G62" s="130" t="n"/>
      <c r="H62" s="128" t="n"/>
      <c r="I62" s="129" t="n"/>
      <c r="J62" s="130" t="n"/>
      <c r="K62" s="117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134" t="n"/>
      <c r="C63" s="135" t="n"/>
      <c r="D63" s="136" t="n"/>
      <c r="E63" s="134" t="n"/>
      <c r="F63" s="135" t="n"/>
      <c r="G63" s="136" t="n"/>
      <c r="H63" s="134" t="n"/>
      <c r="I63" s="135" t="n"/>
      <c r="J63" s="136" t="n"/>
      <c r="K63" s="124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118" t="n"/>
      <c r="C64" s="118" t="n"/>
      <c r="D64" s="119" t="n"/>
      <c r="E64" s="118" t="n"/>
      <c r="F64" s="118" t="n"/>
      <c r="G64" s="119" t="n"/>
      <c r="H64" s="118" t="n"/>
      <c r="I64" s="118" t="n"/>
      <c r="J64" s="119" t="n"/>
      <c r="K64" s="119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121" t="n"/>
      <c r="C65" s="121" t="n"/>
      <c r="D65" s="64" t="n"/>
      <c r="E65" s="121" t="n"/>
      <c r="F65" s="121" t="n"/>
      <c r="G65" s="64" t="n"/>
      <c r="H65" s="121" t="n"/>
      <c r="I65" s="121" t="n"/>
      <c r="J65" s="64" t="n"/>
      <c r="K65" s="64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93" t="n"/>
      <c r="C66" s="95" t="n"/>
      <c r="D66" s="97" t="n"/>
      <c r="E66" s="93" t="n"/>
      <c r="F66" s="95" t="n"/>
      <c r="G66" s="97" t="n"/>
      <c r="H66" s="93" t="n"/>
      <c r="I66" s="95" t="n"/>
      <c r="J66" s="97" t="n"/>
      <c r="K66" s="109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128" t="n"/>
      <c r="C67" s="129" t="n"/>
      <c r="D67" s="130" t="n"/>
      <c r="E67" s="128" t="n"/>
      <c r="F67" s="129" t="n"/>
      <c r="G67" s="130" t="n"/>
      <c r="H67" s="128" t="n"/>
      <c r="I67" s="129" t="n"/>
      <c r="J67" s="130" t="n"/>
      <c r="K67" s="117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128" t="n"/>
      <c r="C68" s="129" t="n"/>
      <c r="D68" s="130" t="n"/>
      <c r="E68" s="128" t="n"/>
      <c r="F68" s="129" t="n"/>
      <c r="G68" s="130" t="n"/>
      <c r="H68" s="128" t="n"/>
      <c r="I68" s="129" t="n"/>
      <c r="J68" s="130" t="n"/>
      <c r="K68" s="117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128" t="n"/>
      <c r="C69" s="129" t="n"/>
      <c r="D69" s="130" t="n"/>
      <c r="E69" s="128" t="n"/>
      <c r="F69" s="129" t="n"/>
      <c r="G69" s="130" t="n"/>
      <c r="H69" s="128" t="n"/>
      <c r="I69" s="129" t="n"/>
      <c r="J69" s="130" t="n"/>
      <c r="K69" s="117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134" t="n"/>
      <c r="C70" s="135" t="n"/>
      <c r="D70" s="136" t="n"/>
      <c r="E70" s="134" t="n"/>
      <c r="F70" s="135" t="n"/>
      <c r="G70" s="136" t="n"/>
      <c r="H70" s="134" t="n"/>
      <c r="I70" s="135" t="n"/>
      <c r="J70" s="136" t="n"/>
      <c r="K70" s="124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118" t="n"/>
      <c r="C71" s="118" t="n"/>
      <c r="D71" s="119" t="n"/>
      <c r="E71" s="118" t="n"/>
      <c r="F71" s="118" t="n"/>
      <c r="G71" s="119" t="n"/>
      <c r="H71" s="118" t="n"/>
      <c r="I71" s="118" t="n"/>
      <c r="J71" s="119" t="n"/>
      <c r="K71" s="119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121" t="n"/>
      <c r="C72" s="121" t="n"/>
      <c r="D72" s="64" t="n"/>
      <c r="E72" s="121" t="n"/>
      <c r="F72" s="121" t="n"/>
      <c r="G72" s="64" t="n"/>
      <c r="H72" s="121" t="n"/>
      <c r="I72" s="121" t="n"/>
      <c r="J72" s="64" t="n"/>
      <c r="K72" s="64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93" t="n"/>
      <c r="C73" s="95" t="n"/>
      <c r="D73" s="97" t="n"/>
      <c r="E73" s="93" t="n"/>
      <c r="F73" s="95" t="n"/>
      <c r="G73" s="97" t="n"/>
      <c r="H73" s="93" t="n"/>
      <c r="I73" s="95" t="n"/>
      <c r="J73" s="97" t="n"/>
      <c r="K73" s="109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128" t="n"/>
      <c r="C74" s="129" t="n"/>
      <c r="D74" s="130" t="n"/>
      <c r="E74" s="128" t="n"/>
      <c r="F74" s="129" t="n"/>
      <c r="G74" s="130" t="n"/>
      <c r="H74" s="128" t="n"/>
      <c r="I74" s="129" t="n"/>
      <c r="J74" s="130" t="n"/>
      <c r="K74" s="117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128" t="n"/>
      <c r="C75" s="129" t="n"/>
      <c r="D75" s="130" t="n"/>
      <c r="E75" s="128" t="n"/>
      <c r="F75" s="129" t="n"/>
      <c r="G75" s="130" t="n"/>
      <c r="H75" s="128" t="n"/>
      <c r="I75" s="129" t="n"/>
      <c r="J75" s="130" t="n"/>
      <c r="K75" s="117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128" t="n"/>
      <c r="C76" s="129" t="n"/>
      <c r="D76" s="130" t="n"/>
      <c r="E76" s="128" t="n"/>
      <c r="F76" s="129" t="n"/>
      <c r="G76" s="130" t="n"/>
      <c r="H76" s="128" t="n"/>
      <c r="I76" s="129" t="n"/>
      <c r="J76" s="130" t="n"/>
      <c r="K76" s="117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134" t="n"/>
      <c r="C77" s="135" t="n"/>
      <c r="D77" s="136" t="n"/>
      <c r="E77" s="134" t="n"/>
      <c r="F77" s="135" t="n"/>
      <c r="G77" s="136" t="n"/>
      <c r="H77" s="134" t="n"/>
      <c r="I77" s="135" t="n"/>
      <c r="J77" s="136" t="n"/>
      <c r="K77" s="124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118" t="n"/>
      <c r="C78" s="118" t="n"/>
      <c r="D78" s="119" t="n"/>
      <c r="E78" s="118" t="n"/>
      <c r="F78" s="118" t="n"/>
      <c r="G78" s="119" t="n"/>
      <c r="H78" s="118" t="n"/>
      <c r="I78" s="118" t="n"/>
      <c r="J78" s="119" t="n"/>
      <c r="K78" s="119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121" t="n"/>
      <c r="C79" s="121" t="n"/>
      <c r="D79" s="64" t="n"/>
      <c r="E79" s="121" t="n"/>
      <c r="F79" s="121" t="n"/>
      <c r="G79" s="64" t="n"/>
      <c r="H79" s="121" t="n"/>
      <c r="I79" s="121" t="n"/>
      <c r="J79" s="64" t="n"/>
      <c r="K79" s="64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93" t="n"/>
      <c r="C80" s="95" t="n"/>
      <c r="D80" s="97" t="n"/>
      <c r="E80" s="93" t="n"/>
      <c r="F80" s="95" t="n"/>
      <c r="G80" s="97" t="n"/>
      <c r="H80" s="93" t="n"/>
      <c r="I80" s="95" t="n"/>
      <c r="J80" s="97" t="n"/>
      <c r="K80" s="109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128" t="n"/>
      <c r="C81" s="129" t="n"/>
      <c r="D81" s="130" t="n"/>
      <c r="E81" s="128" t="n"/>
      <c r="F81" s="129" t="n"/>
      <c r="G81" s="130" t="n"/>
      <c r="H81" s="128" t="n"/>
      <c r="I81" s="129" t="n"/>
      <c r="J81" s="130" t="n"/>
      <c r="K81" s="117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128" t="n"/>
      <c r="C82" s="129" t="n"/>
      <c r="D82" s="130" t="n"/>
      <c r="E82" s="128" t="n"/>
      <c r="F82" s="129" t="n"/>
      <c r="G82" s="130" t="n"/>
      <c r="H82" s="128" t="n"/>
      <c r="I82" s="129" t="n"/>
      <c r="J82" s="130" t="n"/>
      <c r="K82" s="117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128" t="n"/>
      <c r="C83" s="129" t="n"/>
      <c r="D83" s="130" t="n"/>
      <c r="E83" s="128" t="n"/>
      <c r="F83" s="129" t="n"/>
      <c r="G83" s="130" t="n"/>
      <c r="H83" s="128" t="n"/>
      <c r="I83" s="129" t="n"/>
      <c r="J83" s="130" t="n"/>
      <c r="K83" s="117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134" t="n"/>
      <c r="C84" s="135" t="n"/>
      <c r="D84" s="136" t="n"/>
      <c r="E84" s="134" t="n"/>
      <c r="F84" s="135" t="n"/>
      <c r="G84" s="136" t="n"/>
      <c r="H84" s="134" t="n"/>
      <c r="I84" s="135" t="n"/>
      <c r="J84" s="136" t="n"/>
      <c r="K84" s="124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118" t="n"/>
      <c r="C85" s="118" t="n"/>
      <c r="D85" s="119" t="n"/>
      <c r="E85" s="118" t="n"/>
      <c r="F85" s="118" t="n"/>
      <c r="G85" s="119" t="n"/>
      <c r="H85" s="118" t="n"/>
      <c r="I85" s="118" t="n"/>
      <c r="J85" s="119" t="n"/>
      <c r="K85" s="119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121" t="n"/>
      <c r="C86" s="121" t="n"/>
      <c r="D86" s="64" t="n"/>
      <c r="E86" s="121" t="n"/>
      <c r="F86" s="121" t="n"/>
      <c r="G86" s="64" t="n"/>
      <c r="H86" s="121" t="n"/>
      <c r="I86" s="121" t="n"/>
      <c r="J86" s="64" t="n"/>
      <c r="K86" s="64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93" t="n"/>
      <c r="C87" s="95" t="n"/>
      <c r="D87" s="97" t="n"/>
      <c r="E87" s="93" t="n"/>
      <c r="F87" s="95" t="n"/>
      <c r="G87" s="97" t="n"/>
      <c r="H87" s="93" t="n"/>
      <c r="I87" s="95" t="n"/>
      <c r="J87" s="97" t="n"/>
      <c r="K87" s="109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128" t="n"/>
      <c r="C88" s="129" t="n"/>
      <c r="D88" s="130" t="n"/>
      <c r="E88" s="128" t="n"/>
      <c r="F88" s="129" t="n"/>
      <c r="G88" s="130" t="n"/>
      <c r="H88" s="128" t="n"/>
      <c r="I88" s="129" t="n"/>
      <c r="J88" s="130" t="n"/>
      <c r="K88" s="117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128" t="n"/>
      <c r="C89" s="129" t="n"/>
      <c r="D89" s="130" t="n"/>
      <c r="E89" s="128" t="n"/>
      <c r="F89" s="129" t="n"/>
      <c r="G89" s="130" t="n"/>
      <c r="H89" s="128" t="n"/>
      <c r="I89" s="129" t="n"/>
      <c r="J89" s="130" t="n"/>
      <c r="K89" s="117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128" t="n"/>
      <c r="C90" s="129" t="n"/>
      <c r="D90" s="130" t="n"/>
      <c r="E90" s="128" t="n"/>
      <c r="F90" s="129" t="n"/>
      <c r="G90" s="130" t="n"/>
      <c r="H90" s="128" t="n"/>
      <c r="I90" s="129" t="n"/>
      <c r="J90" s="130" t="n"/>
      <c r="K90" s="117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134" t="n"/>
      <c r="C91" s="135" t="n"/>
      <c r="D91" s="136" t="n"/>
      <c r="E91" s="134" t="n"/>
      <c r="F91" s="135" t="n"/>
      <c r="G91" s="136" t="n"/>
      <c r="H91" s="134" t="n"/>
      <c r="I91" s="135" t="n"/>
      <c r="J91" s="136" t="n"/>
      <c r="K91" s="124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118" t="n"/>
      <c r="C92" s="118" t="n"/>
      <c r="D92" s="119" t="n"/>
      <c r="E92" s="118" t="n"/>
      <c r="F92" s="118" t="n"/>
      <c r="G92" s="119" t="n"/>
      <c r="H92" s="118" t="n"/>
      <c r="I92" s="118" t="n"/>
      <c r="J92" s="119" t="n"/>
      <c r="K92" s="119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121" t="n"/>
      <c r="C93" s="121" t="n"/>
      <c r="D93" s="64" t="n"/>
      <c r="E93" s="121" t="n"/>
      <c r="F93" s="121" t="n"/>
      <c r="G93" s="64" t="n"/>
      <c r="H93" s="121" t="n"/>
      <c r="I93" s="121" t="n"/>
      <c r="J93" s="64" t="n"/>
      <c r="K93" s="64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93" t="n"/>
      <c r="C94" s="95" t="n"/>
      <c r="D94" s="97" t="n"/>
      <c r="E94" s="93" t="n"/>
      <c r="F94" s="95" t="n"/>
      <c r="G94" s="97" t="n"/>
      <c r="H94" s="93" t="n"/>
      <c r="I94" s="95" t="n"/>
      <c r="J94" s="97" t="n"/>
      <c r="K94" s="109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128" t="n"/>
      <c r="C95" s="129" t="n"/>
      <c r="D95" s="130" t="n"/>
      <c r="E95" s="128" t="n"/>
      <c r="F95" s="129" t="n"/>
      <c r="G95" s="130" t="n"/>
      <c r="H95" s="128" t="n"/>
      <c r="I95" s="129" t="n"/>
      <c r="J95" s="130" t="n"/>
      <c r="K95" s="117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128" t="n"/>
      <c r="C96" s="129" t="n"/>
      <c r="D96" s="130" t="n"/>
      <c r="E96" s="128" t="n"/>
      <c r="F96" s="129" t="n"/>
      <c r="G96" s="130" t="n"/>
      <c r="H96" s="128" t="n"/>
      <c r="I96" s="129" t="n"/>
      <c r="J96" s="130" t="n"/>
      <c r="K96" s="117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128" t="n"/>
      <c r="C97" s="129" t="n"/>
      <c r="D97" s="130" t="n"/>
      <c r="E97" s="128" t="n"/>
      <c r="F97" s="129" t="n"/>
      <c r="G97" s="130" t="n"/>
      <c r="H97" s="128" t="n"/>
      <c r="I97" s="129" t="n"/>
      <c r="J97" s="130" t="n"/>
      <c r="K97" s="117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134" t="n"/>
      <c r="C98" s="135" t="n"/>
      <c r="D98" s="136" t="n"/>
      <c r="E98" s="134" t="n"/>
      <c r="F98" s="135" t="n"/>
      <c r="G98" s="136" t="n"/>
      <c r="H98" s="134" t="n"/>
      <c r="I98" s="135" t="n"/>
      <c r="J98" s="136" t="n"/>
      <c r="K98" s="124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118" t="n"/>
      <c r="C99" s="118" t="n"/>
      <c r="D99" s="119" t="n"/>
      <c r="E99" s="118" t="n"/>
      <c r="F99" s="118" t="n"/>
      <c r="G99" s="119" t="n"/>
      <c r="H99" s="118" t="n"/>
      <c r="I99" s="118" t="n"/>
      <c r="J99" s="119" t="n"/>
      <c r="K99" s="119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121" t="n"/>
      <c r="C100" s="121" t="n"/>
      <c r="D100" s="64" t="n"/>
      <c r="E100" s="121" t="n"/>
      <c r="F100" s="121" t="n"/>
      <c r="G100" s="64" t="n"/>
      <c r="H100" s="121" t="n"/>
      <c r="I100" s="121" t="n"/>
      <c r="J100" s="64" t="n"/>
      <c r="K100" s="64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93" t="n"/>
      <c r="C101" s="95" t="n"/>
      <c r="D101" s="97" t="n"/>
      <c r="E101" s="93" t="n"/>
      <c r="F101" s="95" t="n"/>
      <c r="G101" s="97" t="n"/>
      <c r="H101" s="93" t="n"/>
      <c r="I101" s="95" t="n"/>
      <c r="J101" s="97" t="n"/>
      <c r="K101" s="109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128" t="n"/>
      <c r="C102" s="129" t="n"/>
      <c r="D102" s="130" t="n"/>
      <c r="E102" s="128" t="n"/>
      <c r="F102" s="129" t="n"/>
      <c r="G102" s="130" t="n"/>
      <c r="H102" s="128" t="n"/>
      <c r="I102" s="129" t="n"/>
      <c r="J102" s="130" t="n"/>
      <c r="K102" s="117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128" t="n"/>
      <c r="C103" s="129" t="n"/>
      <c r="D103" s="130" t="n"/>
      <c r="E103" s="128" t="n"/>
      <c r="F103" s="129" t="n"/>
      <c r="G103" s="130" t="n"/>
      <c r="H103" s="128" t="n"/>
      <c r="I103" s="129" t="n"/>
      <c r="J103" s="130" t="n"/>
      <c r="K103" s="117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128" t="n"/>
      <c r="C104" s="129" t="n"/>
      <c r="D104" s="130" t="n"/>
      <c r="E104" s="128" t="n"/>
      <c r="F104" s="129" t="n"/>
      <c r="G104" s="130" t="n"/>
      <c r="H104" s="128" t="n"/>
      <c r="I104" s="129" t="n"/>
      <c r="J104" s="130" t="n"/>
      <c r="K104" s="117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134" t="n"/>
      <c r="C105" s="135" t="n"/>
      <c r="D105" s="136" t="n"/>
      <c r="E105" s="134" t="n"/>
      <c r="F105" s="135" t="n"/>
      <c r="G105" s="136" t="n"/>
      <c r="H105" s="134" t="n"/>
      <c r="I105" s="135" t="n"/>
      <c r="J105" s="136" t="n"/>
      <c r="K105" s="124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118" t="n"/>
      <c r="C106" s="118" t="n"/>
      <c r="D106" s="119" t="n"/>
      <c r="E106" s="118" t="n"/>
      <c r="F106" s="118" t="n"/>
      <c r="G106" s="119" t="n"/>
      <c r="H106" s="118" t="n"/>
      <c r="I106" s="118" t="n"/>
      <c r="J106" s="119" t="n"/>
      <c r="K106" s="119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121" t="n"/>
      <c r="C107" s="121" t="n"/>
      <c r="D107" s="64" t="n"/>
      <c r="E107" s="121" t="n"/>
      <c r="F107" s="121" t="n"/>
      <c r="G107" s="64" t="n"/>
      <c r="H107" s="121" t="n"/>
      <c r="I107" s="121" t="n"/>
      <c r="J107" s="64" t="n"/>
      <c r="K107" s="64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93" t="n"/>
      <c r="C108" s="95" t="n"/>
      <c r="D108" s="97" t="n"/>
      <c r="E108" s="93" t="n"/>
      <c r="F108" s="95" t="n"/>
      <c r="G108" s="97" t="n"/>
      <c r="H108" s="93" t="n"/>
      <c r="I108" s="95" t="n"/>
      <c r="J108" s="97" t="n"/>
      <c r="K108" s="109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128" t="n"/>
      <c r="C109" s="129" t="n"/>
      <c r="D109" s="130" t="n"/>
      <c r="E109" s="128" t="n"/>
      <c r="F109" s="129" t="n"/>
      <c r="G109" s="130" t="n"/>
      <c r="H109" s="128" t="n"/>
      <c r="I109" s="129" t="n"/>
      <c r="J109" s="130" t="n"/>
      <c r="K109" s="117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128" t="n"/>
      <c r="C110" s="129" t="n"/>
      <c r="D110" s="130" t="n"/>
      <c r="E110" s="128" t="n"/>
      <c r="F110" s="129" t="n"/>
      <c r="G110" s="130" t="n"/>
      <c r="H110" s="128" t="n"/>
      <c r="I110" s="129" t="n"/>
      <c r="J110" s="130" t="n"/>
      <c r="K110" s="117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128" t="n"/>
      <c r="C111" s="129" t="n"/>
      <c r="D111" s="130" t="n"/>
      <c r="E111" s="128" t="n"/>
      <c r="F111" s="129" t="n"/>
      <c r="G111" s="130" t="n"/>
      <c r="H111" s="128" t="n"/>
      <c r="I111" s="129" t="n"/>
      <c r="J111" s="130" t="n"/>
      <c r="K111" s="117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134" t="n"/>
      <c r="C112" s="135" t="n"/>
      <c r="D112" s="136" t="n"/>
      <c r="E112" s="134" t="n"/>
      <c r="F112" s="135" t="n"/>
      <c r="G112" s="136" t="n"/>
      <c r="H112" s="134" t="n"/>
      <c r="I112" s="135" t="n"/>
      <c r="J112" s="136" t="n"/>
      <c r="K112" s="124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118" t="n"/>
      <c r="C113" s="118" t="n"/>
      <c r="D113" s="119" t="n"/>
      <c r="E113" s="118" t="n"/>
      <c r="F113" s="118" t="n"/>
      <c r="G113" s="119" t="n"/>
      <c r="H113" s="118" t="n"/>
      <c r="I113" s="118" t="n"/>
      <c r="J113" s="119" t="n"/>
      <c r="K113" s="119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121" t="n"/>
      <c r="C114" s="121" t="n"/>
      <c r="D114" s="64" t="n"/>
      <c r="E114" s="121" t="n"/>
      <c r="F114" s="121" t="n"/>
      <c r="G114" s="64" t="n"/>
      <c r="H114" s="121" t="n"/>
      <c r="I114" s="121" t="n"/>
      <c r="J114" s="64" t="n"/>
      <c r="K114" s="64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93" t="n"/>
      <c r="C115" s="95" t="n"/>
      <c r="D115" s="97" t="n"/>
      <c r="E115" s="93" t="n"/>
      <c r="F115" s="95" t="n"/>
      <c r="G115" s="97" t="n"/>
      <c r="H115" s="93" t="n"/>
      <c r="I115" s="95" t="n"/>
      <c r="J115" s="97" t="n"/>
      <c r="K115" s="109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128" t="n"/>
      <c r="C116" s="129" t="n"/>
      <c r="D116" s="130" t="n"/>
      <c r="E116" s="128" t="n"/>
      <c r="F116" s="129" t="n"/>
      <c r="G116" s="130" t="n"/>
      <c r="H116" s="128" t="n"/>
      <c r="I116" s="129" t="n"/>
      <c r="J116" s="130" t="n"/>
      <c r="K116" s="117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128" t="n"/>
      <c r="C117" s="129" t="n"/>
      <c r="D117" s="130" t="n"/>
      <c r="E117" s="128" t="n"/>
      <c r="F117" s="129" t="n"/>
      <c r="G117" s="130" t="n"/>
      <c r="H117" s="128" t="n"/>
      <c r="I117" s="129" t="n"/>
      <c r="J117" s="130" t="n"/>
      <c r="K117" s="117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128" t="n"/>
      <c r="C118" s="129" t="n"/>
      <c r="D118" s="130" t="n"/>
      <c r="E118" s="128" t="n"/>
      <c r="F118" s="129" t="n"/>
      <c r="G118" s="130" t="n"/>
      <c r="H118" s="128" t="n"/>
      <c r="I118" s="129" t="n"/>
      <c r="J118" s="130" t="n"/>
      <c r="K118" s="117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134" t="n"/>
      <c r="C119" s="135" t="n"/>
      <c r="D119" s="136" t="n"/>
      <c r="E119" s="134" t="n"/>
      <c r="F119" s="135" t="n"/>
      <c r="G119" s="136" t="n"/>
      <c r="H119" s="134" t="n"/>
      <c r="I119" s="135" t="n"/>
      <c r="J119" s="136" t="n"/>
      <c r="K119" s="124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118" t="n"/>
      <c r="C120" s="118" t="n"/>
      <c r="D120" s="119" t="n"/>
      <c r="E120" s="118" t="n"/>
      <c r="F120" s="118" t="n"/>
      <c r="G120" s="119" t="n"/>
      <c r="H120" s="118" t="n"/>
      <c r="I120" s="118" t="n"/>
      <c r="J120" s="119" t="n"/>
      <c r="K120" s="119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121" t="n"/>
      <c r="C121" s="121" t="n"/>
      <c r="D121" s="64" t="n"/>
      <c r="E121" s="121" t="n"/>
      <c r="F121" s="121" t="n"/>
      <c r="G121" s="64" t="n"/>
      <c r="H121" s="121" t="n"/>
      <c r="I121" s="121" t="n"/>
      <c r="J121" s="64" t="n"/>
      <c r="K121" s="64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93" t="n"/>
      <c r="C122" s="95" t="n"/>
      <c r="D122" s="97" t="n"/>
      <c r="E122" s="93" t="n"/>
      <c r="F122" s="95" t="n"/>
      <c r="G122" s="97" t="n"/>
      <c r="H122" s="93" t="n"/>
      <c r="I122" s="95" t="n"/>
      <c r="J122" s="97" t="n"/>
      <c r="K122" s="109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128" t="n"/>
      <c r="C123" s="129" t="n"/>
      <c r="D123" s="130" t="n"/>
      <c r="E123" s="128" t="n"/>
      <c r="F123" s="129" t="n"/>
      <c r="G123" s="130" t="n"/>
      <c r="H123" s="128" t="n"/>
      <c r="I123" s="129" t="n"/>
      <c r="J123" s="130" t="n"/>
      <c r="K123" s="117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128" t="n"/>
      <c r="C124" s="129" t="n"/>
      <c r="D124" s="130" t="n"/>
      <c r="E124" s="128" t="n"/>
      <c r="F124" s="129" t="n"/>
      <c r="G124" s="130" t="n"/>
      <c r="H124" s="128" t="n"/>
      <c r="I124" s="129" t="n"/>
      <c r="J124" s="130" t="n"/>
      <c r="K124" s="117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128" t="n"/>
      <c r="C125" s="129" t="n"/>
      <c r="D125" s="130" t="n"/>
      <c r="E125" s="128" t="n"/>
      <c r="F125" s="129" t="n"/>
      <c r="G125" s="130" t="n"/>
      <c r="H125" s="128" t="n"/>
      <c r="I125" s="129" t="n"/>
      <c r="J125" s="130" t="n"/>
      <c r="K125" s="117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134" t="n"/>
      <c r="C126" s="135" t="n"/>
      <c r="D126" s="136" t="n"/>
      <c r="E126" s="134" t="n"/>
      <c r="F126" s="135" t="n"/>
      <c r="G126" s="136" t="n"/>
      <c r="H126" s="134" t="n"/>
      <c r="I126" s="135" t="n"/>
      <c r="J126" s="136" t="n"/>
      <c r="K126" s="124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118" t="n"/>
      <c r="C127" s="118" t="n"/>
      <c r="D127" s="119" t="n"/>
      <c r="E127" s="118" t="n"/>
      <c r="F127" s="118" t="n"/>
      <c r="G127" s="119" t="n"/>
      <c r="H127" s="118" t="n"/>
      <c r="I127" s="118" t="n"/>
      <c r="J127" s="119" t="n"/>
      <c r="K127" s="119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121" t="n"/>
      <c r="C128" s="121" t="n"/>
      <c r="D128" s="64" t="n"/>
      <c r="E128" s="121" t="n"/>
      <c r="F128" s="121" t="n"/>
      <c r="G128" s="64" t="n"/>
      <c r="H128" s="121" t="n"/>
      <c r="I128" s="121" t="n"/>
      <c r="J128" s="64" t="n"/>
      <c r="K128" s="64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93" t="n"/>
      <c r="C129" s="95" t="n"/>
      <c r="D129" s="97" t="n"/>
      <c r="E129" s="93" t="n"/>
      <c r="F129" s="95" t="n"/>
      <c r="G129" s="97" t="n"/>
      <c r="H129" s="93" t="n"/>
      <c r="I129" s="95" t="n"/>
      <c r="J129" s="97" t="n"/>
      <c r="K129" s="109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128" t="n"/>
      <c r="C130" s="129" t="n"/>
      <c r="D130" s="130" t="n"/>
      <c r="E130" s="128" t="n"/>
      <c r="F130" s="129" t="n"/>
      <c r="G130" s="130" t="n"/>
      <c r="H130" s="128" t="n"/>
      <c r="I130" s="129" t="n"/>
      <c r="J130" s="130" t="n"/>
      <c r="K130" s="117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128" t="n"/>
      <c r="C131" s="129" t="n"/>
      <c r="D131" s="130" t="n"/>
      <c r="E131" s="128" t="n"/>
      <c r="F131" s="129" t="n"/>
      <c r="G131" s="130" t="n"/>
      <c r="H131" s="128" t="n"/>
      <c r="I131" s="129" t="n"/>
      <c r="J131" s="130" t="n"/>
      <c r="K131" s="117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128" t="n"/>
      <c r="C132" s="129" t="n"/>
      <c r="D132" s="130" t="n"/>
      <c r="E132" s="128" t="n"/>
      <c r="F132" s="129" t="n"/>
      <c r="G132" s="130" t="n"/>
      <c r="H132" s="128" t="n"/>
      <c r="I132" s="129" t="n"/>
      <c r="J132" s="130" t="n"/>
      <c r="K132" s="117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134" t="n"/>
      <c r="C133" s="135" t="n"/>
      <c r="D133" s="136" t="n"/>
      <c r="E133" s="134" t="n"/>
      <c r="F133" s="135" t="n"/>
      <c r="G133" s="136" t="n"/>
      <c r="H133" s="134" t="n"/>
      <c r="I133" s="135" t="n"/>
      <c r="J133" s="136" t="n"/>
      <c r="K133" s="124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118" t="n"/>
      <c r="C134" s="118" t="n"/>
      <c r="D134" s="119" t="n"/>
      <c r="E134" s="118" t="n"/>
      <c r="F134" s="118" t="n"/>
      <c r="G134" s="119" t="n"/>
      <c r="H134" s="118" t="n"/>
      <c r="I134" s="118" t="n"/>
      <c r="J134" s="119" t="n"/>
      <c r="K134" s="119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121" t="n"/>
      <c r="C135" s="121" t="n"/>
      <c r="D135" s="64" t="n"/>
      <c r="E135" s="121" t="n"/>
      <c r="F135" s="121" t="n"/>
      <c r="G135" s="64" t="n"/>
      <c r="H135" s="121" t="n"/>
      <c r="I135" s="121" t="n"/>
      <c r="J135" s="64" t="n"/>
      <c r="K135" s="64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93" t="n"/>
      <c r="C136" s="95" t="n"/>
      <c r="D136" s="97" t="n"/>
      <c r="E136" s="93" t="n"/>
      <c r="F136" s="95" t="n"/>
      <c r="G136" s="97" t="n"/>
      <c r="H136" s="93" t="n"/>
      <c r="I136" s="95" t="n"/>
      <c r="J136" s="97" t="n"/>
      <c r="K136" s="109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128" t="n"/>
      <c r="C137" s="129" t="n"/>
      <c r="D137" s="130" t="n"/>
      <c r="E137" s="128" t="n"/>
      <c r="F137" s="129" t="n"/>
      <c r="G137" s="130" t="n"/>
      <c r="H137" s="128" t="n"/>
      <c r="I137" s="129" t="n"/>
      <c r="J137" s="130" t="n"/>
      <c r="K137" s="117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128" t="n"/>
      <c r="C138" s="129" t="n"/>
      <c r="D138" s="130" t="n"/>
      <c r="E138" s="128" t="n"/>
      <c r="F138" s="129" t="n"/>
      <c r="G138" s="130" t="n"/>
      <c r="H138" s="128" t="n"/>
      <c r="I138" s="129" t="n"/>
      <c r="J138" s="130" t="n"/>
      <c r="K138" s="117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128" t="n"/>
      <c r="C139" s="129" t="n"/>
      <c r="D139" s="130" t="n"/>
      <c r="E139" s="128" t="n"/>
      <c r="F139" s="129" t="n"/>
      <c r="G139" s="130" t="n"/>
      <c r="H139" s="128" t="n"/>
      <c r="I139" s="129" t="n"/>
      <c r="J139" s="130" t="n"/>
      <c r="K139" s="117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134" t="n"/>
      <c r="C140" s="135" t="n"/>
      <c r="D140" s="136" t="n"/>
      <c r="E140" s="134" t="n"/>
      <c r="F140" s="135" t="n"/>
      <c r="G140" s="136" t="n"/>
      <c r="H140" s="134" t="n"/>
      <c r="I140" s="135" t="n"/>
      <c r="J140" s="136" t="n"/>
      <c r="K140" s="124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118" t="n"/>
      <c r="C141" s="118" t="n"/>
      <c r="D141" s="119" t="n"/>
      <c r="E141" s="118" t="n"/>
      <c r="F141" s="118" t="n"/>
      <c r="G141" s="119" t="n"/>
      <c r="H141" s="118" t="n"/>
      <c r="I141" s="118" t="n"/>
      <c r="J141" s="119" t="n"/>
      <c r="K141" s="119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121" t="n"/>
      <c r="C142" s="121" t="n"/>
      <c r="D142" s="64" t="n"/>
      <c r="E142" s="121" t="n"/>
      <c r="F142" s="121" t="n"/>
      <c r="G142" s="64" t="n"/>
      <c r="H142" s="121" t="n"/>
      <c r="I142" s="121" t="n"/>
      <c r="J142" s="64" t="n"/>
      <c r="K142" s="64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93" t="n"/>
      <c r="C143" s="95" t="n"/>
      <c r="D143" s="97" t="n"/>
      <c r="E143" s="93" t="n"/>
      <c r="F143" s="95" t="n"/>
      <c r="G143" s="97" t="n"/>
      <c r="H143" s="93" t="n"/>
      <c r="I143" s="95" t="n"/>
      <c r="J143" s="97" t="n"/>
      <c r="K143" s="109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128" t="n"/>
      <c r="C144" s="129" t="n"/>
      <c r="D144" s="130" t="n"/>
      <c r="E144" s="128" t="n"/>
      <c r="F144" s="129" t="n"/>
      <c r="G144" s="130" t="n"/>
      <c r="H144" s="128" t="n"/>
      <c r="I144" s="129" t="n"/>
      <c r="J144" s="130" t="n"/>
      <c r="K144" s="117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128" t="n"/>
      <c r="C145" s="129" t="n"/>
      <c r="D145" s="130" t="n"/>
      <c r="E145" s="128" t="n"/>
      <c r="F145" s="129" t="n"/>
      <c r="G145" s="130" t="n"/>
      <c r="H145" s="128" t="n"/>
      <c r="I145" s="129" t="n"/>
      <c r="J145" s="130" t="n"/>
      <c r="K145" s="117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128" t="n"/>
      <c r="C146" s="129" t="n"/>
      <c r="D146" s="130" t="n"/>
      <c r="E146" s="128" t="n"/>
      <c r="F146" s="129" t="n"/>
      <c r="G146" s="130" t="n"/>
      <c r="H146" s="128" t="n"/>
      <c r="I146" s="129" t="n"/>
      <c r="J146" s="130" t="n"/>
      <c r="K146" s="117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134" t="n"/>
      <c r="C147" s="135" t="n"/>
      <c r="D147" s="136" t="n"/>
      <c r="E147" s="134" t="n"/>
      <c r="F147" s="135" t="n"/>
      <c r="G147" s="136" t="n"/>
      <c r="H147" s="134" t="n"/>
      <c r="I147" s="135" t="n"/>
      <c r="J147" s="136" t="n"/>
      <c r="K147" s="124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118" t="n"/>
      <c r="C148" s="118" t="n"/>
      <c r="D148" s="119" t="n"/>
      <c r="E148" s="118" t="n"/>
      <c r="F148" s="118" t="n"/>
      <c r="G148" s="119" t="n"/>
      <c r="H148" s="118" t="n"/>
      <c r="I148" s="118" t="n"/>
      <c r="J148" s="119" t="n"/>
      <c r="K148" s="119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121" t="n"/>
      <c r="C149" s="121" t="n"/>
      <c r="D149" s="64" t="n"/>
      <c r="E149" s="121" t="n"/>
      <c r="F149" s="121" t="n"/>
      <c r="G149" s="64" t="n"/>
      <c r="H149" s="121" t="n"/>
      <c r="I149" s="121" t="n"/>
      <c r="J149" s="64" t="n"/>
      <c r="K149" s="64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93" t="n"/>
      <c r="C150" s="95" t="n"/>
      <c r="D150" s="97" t="n"/>
      <c r="E150" s="93" t="n"/>
      <c r="F150" s="95" t="n"/>
      <c r="G150" s="97" t="n"/>
      <c r="H150" s="93" t="n"/>
      <c r="I150" s="95" t="n"/>
      <c r="J150" s="97" t="n"/>
      <c r="K150" s="109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128" t="n"/>
      <c r="C151" s="129" t="n"/>
      <c r="D151" s="130" t="n"/>
      <c r="E151" s="128" t="n"/>
      <c r="F151" s="129" t="n"/>
      <c r="G151" s="130" t="n"/>
      <c r="H151" s="128" t="n"/>
      <c r="I151" s="129" t="n"/>
      <c r="J151" s="130" t="n"/>
      <c r="K151" s="117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128" t="n"/>
      <c r="C152" s="129" t="n"/>
      <c r="D152" s="130" t="n"/>
      <c r="E152" s="128" t="n"/>
      <c r="F152" s="129" t="n"/>
      <c r="G152" s="130" t="n"/>
      <c r="H152" s="128" t="n"/>
      <c r="I152" s="129" t="n"/>
      <c r="J152" s="130" t="n"/>
      <c r="K152" s="117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128" t="n"/>
      <c r="C153" s="129" t="n"/>
      <c r="D153" s="130" t="n"/>
      <c r="E153" s="128" t="n"/>
      <c r="F153" s="129" t="n"/>
      <c r="G153" s="130" t="n"/>
      <c r="H153" s="128" t="n"/>
      <c r="I153" s="129" t="n"/>
      <c r="J153" s="130" t="n"/>
      <c r="K153" s="117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134" t="n"/>
      <c r="C154" s="135" t="n"/>
      <c r="D154" s="136" t="n"/>
      <c r="E154" s="134" t="n"/>
      <c r="F154" s="135" t="n"/>
      <c r="G154" s="136" t="n"/>
      <c r="H154" s="134" t="n"/>
      <c r="I154" s="135" t="n"/>
      <c r="J154" s="136" t="n"/>
      <c r="K154" s="124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118" t="n"/>
      <c r="C155" s="118" t="n"/>
      <c r="D155" s="119" t="n"/>
      <c r="E155" s="118" t="n"/>
      <c r="F155" s="118" t="n"/>
      <c r="G155" s="119" t="n"/>
      <c r="H155" s="118" t="n"/>
      <c r="I155" s="118" t="n"/>
      <c r="J155" s="119" t="n"/>
      <c r="K155" s="119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121" t="n"/>
      <c r="C156" s="121" t="n"/>
      <c r="D156" s="64" t="n"/>
      <c r="E156" s="121" t="n"/>
      <c r="F156" s="121" t="n"/>
      <c r="G156" s="64" t="n"/>
      <c r="H156" s="121" t="n"/>
      <c r="I156" s="121" t="n"/>
      <c r="J156" s="64" t="n"/>
      <c r="K156" s="64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93" t="n"/>
      <c r="C157" s="95" t="n"/>
      <c r="D157" s="97" t="n"/>
      <c r="E157" s="93" t="n"/>
      <c r="F157" s="95" t="n"/>
      <c r="G157" s="97" t="n"/>
      <c r="H157" s="93" t="n"/>
      <c r="I157" s="95" t="n"/>
      <c r="J157" s="97" t="n"/>
      <c r="K157" s="109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128" t="n"/>
      <c r="C158" s="129" t="n"/>
      <c r="D158" s="130" t="n"/>
      <c r="E158" s="128" t="n"/>
      <c r="F158" s="129" t="n"/>
      <c r="G158" s="130" t="n"/>
      <c r="H158" s="128" t="n"/>
      <c r="I158" s="129" t="n"/>
      <c r="J158" s="130" t="n"/>
      <c r="K158" s="117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128" t="n"/>
      <c r="C159" s="129" t="n"/>
      <c r="D159" s="130" t="n"/>
      <c r="E159" s="128" t="n"/>
      <c r="F159" s="129" t="n"/>
      <c r="G159" s="130" t="n"/>
      <c r="H159" s="128" t="n"/>
      <c r="I159" s="129" t="n"/>
      <c r="J159" s="130" t="n"/>
      <c r="K159" s="117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128" t="n"/>
      <c r="C160" s="129" t="n"/>
      <c r="D160" s="130" t="n"/>
      <c r="E160" s="128" t="n"/>
      <c r="F160" s="129" t="n"/>
      <c r="G160" s="130" t="n"/>
      <c r="H160" s="128" t="n"/>
      <c r="I160" s="129" t="n"/>
      <c r="J160" s="130" t="n"/>
      <c r="K160" s="117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134" t="n"/>
      <c r="C161" s="135" t="n"/>
      <c r="D161" s="136" t="n"/>
      <c r="E161" s="134" t="n"/>
      <c r="F161" s="135" t="n"/>
      <c r="G161" s="136" t="n"/>
      <c r="H161" s="134" t="n"/>
      <c r="I161" s="135" t="n"/>
      <c r="J161" s="136" t="n"/>
      <c r="K161" s="124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118" t="n"/>
      <c r="C162" s="118" t="n"/>
      <c r="D162" s="119" t="n"/>
      <c r="E162" s="118" t="n"/>
      <c r="F162" s="118" t="n"/>
      <c r="G162" s="119" t="n"/>
      <c r="H162" s="118" t="n"/>
      <c r="I162" s="118" t="n"/>
      <c r="J162" s="119" t="n"/>
      <c r="K162" s="119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121" t="n"/>
      <c r="C163" s="121" t="n"/>
      <c r="D163" s="64" t="n"/>
      <c r="E163" s="121" t="n"/>
      <c r="F163" s="121" t="n"/>
      <c r="G163" s="64" t="n"/>
      <c r="H163" s="121" t="n"/>
      <c r="I163" s="121" t="n"/>
      <c r="J163" s="64" t="n"/>
      <c r="K163" s="64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93" t="n"/>
      <c r="C164" s="95" t="n"/>
      <c r="D164" s="97" t="n"/>
      <c r="E164" s="93" t="n"/>
      <c r="F164" s="95" t="n"/>
      <c r="G164" s="97" t="n"/>
      <c r="H164" s="93" t="n"/>
      <c r="I164" s="95" t="n"/>
      <c r="J164" s="97" t="n"/>
      <c r="K164" s="109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128" t="n"/>
      <c r="C165" s="129" t="n"/>
      <c r="D165" s="130" t="n"/>
      <c r="E165" s="128" t="n"/>
      <c r="F165" s="129" t="n"/>
      <c r="G165" s="130" t="n"/>
      <c r="H165" s="128" t="n"/>
      <c r="I165" s="129" t="n"/>
      <c r="J165" s="130" t="n"/>
      <c r="K165" s="117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128" t="n"/>
      <c r="C166" s="129" t="n"/>
      <c r="D166" s="130" t="n"/>
      <c r="E166" s="128" t="n"/>
      <c r="F166" s="129" t="n"/>
      <c r="G166" s="130" t="n"/>
      <c r="H166" s="128" t="n"/>
      <c r="I166" s="129" t="n"/>
      <c r="J166" s="130" t="n"/>
      <c r="K166" s="117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128" t="n"/>
      <c r="C167" s="129" t="n"/>
      <c r="D167" s="130" t="n"/>
      <c r="E167" s="128" t="n"/>
      <c r="F167" s="129" t="n"/>
      <c r="G167" s="130" t="n"/>
      <c r="H167" s="128" t="n"/>
      <c r="I167" s="129" t="n"/>
      <c r="J167" s="130" t="n"/>
      <c r="K167" s="117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134" t="n"/>
      <c r="C168" s="135" t="n"/>
      <c r="D168" s="136" t="n"/>
      <c r="E168" s="134" t="n"/>
      <c r="F168" s="135" t="n"/>
      <c r="G168" s="136" t="n"/>
      <c r="H168" s="134" t="n"/>
      <c r="I168" s="135" t="n"/>
      <c r="J168" s="136" t="n"/>
      <c r="K168" s="124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118" t="n"/>
      <c r="C169" s="118" t="n"/>
      <c r="D169" s="119" t="n"/>
      <c r="E169" s="118" t="n"/>
      <c r="F169" s="118" t="n"/>
      <c r="G169" s="119" t="n"/>
      <c r="H169" s="118" t="n"/>
      <c r="I169" s="118" t="n"/>
      <c r="J169" s="119" t="n"/>
      <c r="K169" s="119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121" t="n"/>
      <c r="C170" s="121" t="n"/>
      <c r="D170" s="64" t="n"/>
      <c r="E170" s="121" t="n"/>
      <c r="F170" s="121" t="n"/>
      <c r="G170" s="64" t="n"/>
      <c r="H170" s="121" t="n"/>
      <c r="I170" s="121" t="n"/>
      <c r="J170" s="64" t="n"/>
      <c r="K170" s="64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93" t="n"/>
      <c r="C171" s="95" t="n"/>
      <c r="D171" s="97" t="n"/>
      <c r="E171" s="93" t="n"/>
      <c r="F171" s="95" t="n"/>
      <c r="G171" s="97" t="n"/>
      <c r="H171" s="93" t="n"/>
      <c r="I171" s="95" t="n"/>
      <c r="J171" s="97" t="n"/>
      <c r="K171" s="109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128" t="n"/>
      <c r="C172" s="129" t="n"/>
      <c r="D172" s="130" t="n"/>
      <c r="E172" s="128" t="n"/>
      <c r="F172" s="129" t="n"/>
      <c r="G172" s="130" t="n"/>
      <c r="H172" s="128" t="n"/>
      <c r="I172" s="129" t="n"/>
      <c r="J172" s="130" t="n"/>
      <c r="K172" s="117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128" t="n"/>
      <c r="C173" s="129" t="n"/>
      <c r="D173" s="130" t="n"/>
      <c r="E173" s="128" t="n"/>
      <c r="F173" s="129" t="n"/>
      <c r="G173" s="130" t="n"/>
      <c r="H173" s="128" t="n"/>
      <c r="I173" s="129" t="n"/>
      <c r="J173" s="130" t="n"/>
      <c r="K173" s="117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128" t="n"/>
      <c r="C174" s="129" t="n"/>
      <c r="D174" s="130" t="n"/>
      <c r="E174" s="128" t="n"/>
      <c r="F174" s="129" t="n"/>
      <c r="G174" s="130" t="n"/>
      <c r="H174" s="128" t="n"/>
      <c r="I174" s="129" t="n"/>
      <c r="J174" s="130" t="n"/>
      <c r="K174" s="117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134" t="n"/>
      <c r="C175" s="135" t="n"/>
      <c r="D175" s="136" t="n"/>
      <c r="E175" s="134" t="n"/>
      <c r="F175" s="135" t="n"/>
      <c r="G175" s="136" t="n"/>
      <c r="H175" s="134" t="n"/>
      <c r="I175" s="135" t="n"/>
      <c r="J175" s="136" t="n"/>
      <c r="K175" s="124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118" t="n"/>
      <c r="C176" s="118" t="n"/>
      <c r="D176" s="119" t="n"/>
      <c r="E176" s="118" t="n"/>
      <c r="F176" s="118" t="n"/>
      <c r="G176" s="119" t="n"/>
      <c r="H176" s="118" t="n"/>
      <c r="I176" s="118" t="n"/>
      <c r="J176" s="119" t="n"/>
      <c r="K176" s="119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121" t="n"/>
      <c r="C177" s="121" t="n"/>
      <c r="D177" s="64" t="n"/>
      <c r="E177" s="121" t="n"/>
      <c r="F177" s="121" t="n"/>
      <c r="G177" s="64" t="n"/>
      <c r="H177" s="121" t="n"/>
      <c r="I177" s="121" t="n"/>
      <c r="J177" s="64" t="n"/>
      <c r="K177" s="64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93" t="n"/>
      <c r="C178" s="95" t="n"/>
      <c r="D178" s="97" t="n"/>
      <c r="E178" s="93" t="n"/>
      <c r="F178" s="95" t="n"/>
      <c r="G178" s="97" t="n"/>
      <c r="H178" s="93" t="n"/>
      <c r="I178" s="95" t="n"/>
      <c r="J178" s="97" t="n"/>
      <c r="K178" s="109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128" t="n"/>
      <c r="C179" s="129" t="n"/>
      <c r="D179" s="130" t="n"/>
      <c r="E179" s="128" t="n"/>
      <c r="F179" s="129" t="n"/>
      <c r="G179" s="130" t="n"/>
      <c r="H179" s="128" t="n"/>
      <c r="I179" s="129" t="n"/>
      <c r="J179" s="130" t="n"/>
      <c r="K179" s="117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128" t="n"/>
      <c r="C180" s="129" t="n"/>
      <c r="D180" s="130" t="n"/>
      <c r="E180" s="128" t="n"/>
      <c r="F180" s="129" t="n"/>
      <c r="G180" s="130" t="n"/>
      <c r="H180" s="128" t="n"/>
      <c r="I180" s="129" t="n"/>
      <c r="J180" s="130" t="n"/>
      <c r="K180" s="117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128" t="n"/>
      <c r="C181" s="129" t="n"/>
      <c r="D181" s="130" t="n"/>
      <c r="E181" s="128" t="n"/>
      <c r="F181" s="129" t="n"/>
      <c r="G181" s="130" t="n"/>
      <c r="H181" s="128" t="n"/>
      <c r="I181" s="129" t="n"/>
      <c r="J181" s="130" t="n"/>
      <c r="K181" s="117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134" t="n"/>
      <c r="C182" s="135" t="n"/>
      <c r="D182" s="136" t="n"/>
      <c r="E182" s="134" t="n"/>
      <c r="F182" s="135" t="n"/>
      <c r="G182" s="136" t="n"/>
      <c r="H182" s="134" t="n"/>
      <c r="I182" s="135" t="n"/>
      <c r="J182" s="136" t="n"/>
      <c r="K182" s="124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118" t="n"/>
      <c r="C183" s="118" t="n"/>
      <c r="D183" s="119" t="n"/>
      <c r="E183" s="118" t="n"/>
      <c r="F183" s="118" t="n"/>
      <c r="G183" s="119" t="n"/>
      <c r="H183" s="118" t="n"/>
      <c r="I183" s="118" t="n"/>
      <c r="J183" s="119" t="n"/>
      <c r="K183" s="119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121" t="n"/>
      <c r="C184" s="121" t="n"/>
      <c r="D184" s="64" t="n"/>
      <c r="E184" s="121" t="n"/>
      <c r="F184" s="121" t="n"/>
      <c r="G184" s="64" t="n"/>
      <c r="H184" s="121" t="n"/>
      <c r="I184" s="121" t="n"/>
      <c r="J184" s="64" t="n"/>
      <c r="K184" s="64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93" t="n"/>
      <c r="C185" s="95" t="n"/>
      <c r="D185" s="97" t="n"/>
      <c r="E185" s="93" t="n"/>
      <c r="F185" s="95" t="n"/>
      <c r="G185" s="97" t="n"/>
      <c r="H185" s="93" t="n"/>
      <c r="I185" s="95" t="n"/>
      <c r="J185" s="97" t="n"/>
      <c r="K185" s="109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128" t="n"/>
      <c r="C186" s="129" t="n"/>
      <c r="D186" s="130" t="n"/>
      <c r="E186" s="128" t="n"/>
      <c r="F186" s="129" t="n"/>
      <c r="G186" s="130" t="n"/>
      <c r="H186" s="128" t="n"/>
      <c r="I186" s="129" t="n"/>
      <c r="J186" s="130" t="n"/>
      <c r="K186" s="117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128" t="n"/>
      <c r="C187" s="129" t="n"/>
      <c r="D187" s="130" t="n"/>
      <c r="E187" s="128" t="n"/>
      <c r="F187" s="129" t="n"/>
      <c r="G187" s="130" t="n"/>
      <c r="H187" s="128" t="n"/>
      <c r="I187" s="129" t="n"/>
      <c r="J187" s="130" t="n"/>
      <c r="K187" s="117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128" t="n"/>
      <c r="C188" s="129" t="n"/>
      <c r="D188" s="130" t="n"/>
      <c r="E188" s="128" t="n"/>
      <c r="F188" s="129" t="n"/>
      <c r="G188" s="130" t="n"/>
      <c r="H188" s="128" t="n"/>
      <c r="I188" s="129" t="n"/>
      <c r="J188" s="130" t="n"/>
      <c r="K188" s="117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134" t="n"/>
      <c r="C189" s="135" t="n"/>
      <c r="D189" s="136" t="n"/>
      <c r="E189" s="134" t="n"/>
      <c r="F189" s="135" t="n"/>
      <c r="G189" s="136" t="n"/>
      <c r="H189" s="134" t="n"/>
      <c r="I189" s="135" t="n"/>
      <c r="J189" s="136" t="n"/>
      <c r="K189" s="124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118" t="n"/>
      <c r="C190" s="118" t="n"/>
      <c r="D190" s="119" t="n"/>
      <c r="E190" s="118" t="n"/>
      <c r="F190" s="118" t="n"/>
      <c r="G190" s="119" t="n"/>
      <c r="H190" s="118" t="n"/>
      <c r="I190" s="118" t="n"/>
      <c r="J190" s="119" t="n"/>
      <c r="K190" s="119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121" t="n"/>
      <c r="C191" s="121" t="n"/>
      <c r="D191" s="64" t="n"/>
      <c r="E191" s="121" t="n"/>
      <c r="F191" s="121" t="n"/>
      <c r="G191" s="64" t="n"/>
      <c r="H191" s="121" t="n"/>
      <c r="I191" s="121" t="n"/>
      <c r="J191" s="64" t="n"/>
      <c r="K191" s="64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93" t="n"/>
      <c r="C192" s="95" t="n"/>
      <c r="D192" s="97" t="n"/>
      <c r="E192" s="93" t="n"/>
      <c r="F192" s="95" t="n"/>
      <c r="G192" s="97" t="n"/>
      <c r="H192" s="93" t="n"/>
      <c r="I192" s="95" t="n"/>
      <c r="J192" s="97" t="n"/>
      <c r="K192" s="109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128" t="n"/>
      <c r="C193" s="129" t="n"/>
      <c r="D193" s="130" t="n"/>
      <c r="E193" s="128" t="n"/>
      <c r="F193" s="129" t="n"/>
      <c r="G193" s="130" t="n"/>
      <c r="H193" s="128" t="n"/>
      <c r="I193" s="129" t="n"/>
      <c r="J193" s="130" t="n"/>
      <c r="K193" s="117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128" t="n"/>
      <c r="C194" s="129" t="n"/>
      <c r="D194" s="130" t="n"/>
      <c r="E194" s="128" t="n"/>
      <c r="F194" s="129" t="n"/>
      <c r="G194" s="130" t="n"/>
      <c r="H194" s="128" t="n"/>
      <c r="I194" s="129" t="n"/>
      <c r="J194" s="130" t="n"/>
      <c r="K194" s="117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128" t="n"/>
      <c r="C195" s="129" t="n"/>
      <c r="D195" s="130" t="n"/>
      <c r="E195" s="128" t="n"/>
      <c r="F195" s="129" t="n"/>
      <c r="G195" s="130" t="n"/>
      <c r="H195" s="128" t="n"/>
      <c r="I195" s="129" t="n"/>
      <c r="J195" s="130" t="n"/>
      <c r="K195" s="117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134" t="n"/>
      <c r="C196" s="135" t="n"/>
      <c r="D196" s="136" t="n"/>
      <c r="E196" s="134" t="n"/>
      <c r="F196" s="135" t="n"/>
      <c r="G196" s="136" t="n"/>
      <c r="H196" s="134" t="n"/>
      <c r="I196" s="135" t="n"/>
      <c r="J196" s="136" t="n"/>
      <c r="K196" s="124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118" t="n"/>
      <c r="C197" s="118" t="n"/>
      <c r="D197" s="119" t="n"/>
      <c r="E197" s="118" t="n"/>
      <c r="F197" s="118" t="n"/>
      <c r="G197" s="119" t="n"/>
      <c r="H197" s="118" t="n"/>
      <c r="I197" s="118" t="n"/>
      <c r="J197" s="119" t="n"/>
      <c r="K197" s="119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121" t="n"/>
      <c r="C198" s="121" t="n"/>
      <c r="D198" s="64" t="n"/>
      <c r="E198" s="121" t="n"/>
      <c r="F198" s="121" t="n"/>
      <c r="G198" s="64" t="n"/>
      <c r="H198" s="121" t="n"/>
      <c r="I198" s="121" t="n"/>
      <c r="J198" s="64" t="n"/>
      <c r="K198" s="64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93" t="n"/>
      <c r="C199" s="95" t="n"/>
      <c r="D199" s="97" t="n"/>
      <c r="E199" s="93" t="n"/>
      <c r="F199" s="95" t="n"/>
      <c r="G199" s="97" t="n"/>
      <c r="H199" s="93" t="n"/>
      <c r="I199" s="95" t="n"/>
      <c r="J199" s="97" t="n"/>
      <c r="K199" s="109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128" t="n"/>
      <c r="C200" s="129" t="n"/>
      <c r="D200" s="130" t="n"/>
      <c r="E200" s="128" t="n"/>
      <c r="F200" s="129" t="n"/>
      <c r="G200" s="130" t="n"/>
      <c r="H200" s="128" t="n"/>
      <c r="I200" s="129" t="n"/>
      <c r="J200" s="130" t="n"/>
      <c r="K200" s="117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128" t="n"/>
      <c r="C201" s="129" t="n"/>
      <c r="D201" s="130" t="n"/>
      <c r="E201" s="128" t="n"/>
      <c r="F201" s="129" t="n"/>
      <c r="G201" s="130" t="n"/>
      <c r="H201" s="128" t="n"/>
      <c r="I201" s="129" t="n"/>
      <c r="J201" s="130" t="n"/>
      <c r="K201" s="117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128" t="n"/>
      <c r="C202" s="129" t="n"/>
      <c r="D202" s="130" t="n"/>
      <c r="E202" s="128" t="n"/>
      <c r="F202" s="129" t="n"/>
      <c r="G202" s="130" t="n"/>
      <c r="H202" s="128" t="n"/>
      <c r="I202" s="129" t="n"/>
      <c r="J202" s="130" t="n"/>
      <c r="K202" s="117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134" t="n"/>
      <c r="C203" s="135" t="n"/>
      <c r="D203" s="136" t="n"/>
      <c r="E203" s="134" t="n"/>
      <c r="F203" s="135" t="n"/>
      <c r="G203" s="136" t="n"/>
      <c r="H203" s="134" t="n"/>
      <c r="I203" s="135" t="n"/>
      <c r="J203" s="136" t="n"/>
      <c r="K203" s="124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118" t="n"/>
      <c r="C204" s="118" t="n"/>
      <c r="D204" s="119" t="n"/>
      <c r="E204" s="118" t="n"/>
      <c r="F204" s="118" t="n"/>
      <c r="G204" s="119" t="n"/>
      <c r="H204" s="118" t="n"/>
      <c r="I204" s="118" t="n"/>
      <c r="J204" s="119" t="n"/>
      <c r="K204" s="119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121" t="n"/>
      <c r="C205" s="121" t="n"/>
      <c r="D205" s="64" t="n"/>
      <c r="E205" s="121" t="n"/>
      <c r="F205" s="121" t="n"/>
      <c r="G205" s="64" t="n"/>
      <c r="H205" s="121" t="n"/>
      <c r="I205" s="121" t="n"/>
      <c r="J205" s="64" t="n"/>
      <c r="K205" s="64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93" t="n"/>
      <c r="C206" s="95" t="n"/>
      <c r="D206" s="97" t="n"/>
      <c r="E206" s="93" t="n"/>
      <c r="F206" s="95" t="n"/>
      <c r="G206" s="97" t="n"/>
      <c r="H206" s="93" t="n"/>
      <c r="I206" s="95" t="n"/>
      <c r="J206" s="97" t="n"/>
      <c r="K206" s="109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128" t="n"/>
      <c r="C207" s="129" t="n"/>
      <c r="D207" s="130" t="n"/>
      <c r="E207" s="128" t="n"/>
      <c r="F207" s="129" t="n"/>
      <c r="G207" s="130" t="n"/>
      <c r="H207" s="128" t="n"/>
      <c r="I207" s="129" t="n"/>
      <c r="J207" s="130" t="n"/>
      <c r="K207" s="117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128" t="n"/>
      <c r="C208" s="129" t="n"/>
      <c r="D208" s="130" t="n"/>
      <c r="E208" s="128" t="n"/>
      <c r="F208" s="129" t="n"/>
      <c r="G208" s="130" t="n"/>
      <c r="H208" s="128" t="n"/>
      <c r="I208" s="129" t="n"/>
      <c r="J208" s="130" t="n"/>
      <c r="K208" s="117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128" t="n"/>
      <c r="C209" s="129" t="n"/>
      <c r="D209" s="130" t="n"/>
      <c r="E209" s="128" t="n"/>
      <c r="F209" s="129" t="n"/>
      <c r="G209" s="130" t="n"/>
      <c r="H209" s="128" t="n"/>
      <c r="I209" s="129" t="n"/>
      <c r="J209" s="130" t="n"/>
      <c r="K209" s="117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134" t="n"/>
      <c r="C210" s="135" t="n"/>
      <c r="D210" s="136" t="n"/>
      <c r="E210" s="134" t="n"/>
      <c r="F210" s="135" t="n"/>
      <c r="G210" s="136" t="n"/>
      <c r="H210" s="134" t="n"/>
      <c r="I210" s="135" t="n"/>
      <c r="J210" s="136" t="n"/>
      <c r="K210" s="124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118" t="n"/>
      <c r="C211" s="118" t="n"/>
      <c r="D211" s="119" t="n"/>
      <c r="E211" s="118" t="n"/>
      <c r="F211" s="118" t="n"/>
      <c r="G211" s="119" t="n"/>
      <c r="H211" s="118" t="n"/>
      <c r="I211" s="118" t="n"/>
      <c r="J211" s="119" t="n"/>
      <c r="K211" s="119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121" t="n"/>
      <c r="C212" s="121" t="n"/>
      <c r="D212" s="64" t="n"/>
      <c r="E212" s="121" t="n"/>
      <c r="F212" s="121" t="n"/>
      <c r="G212" s="64" t="n"/>
      <c r="H212" s="121" t="n"/>
      <c r="I212" s="121" t="n"/>
      <c r="J212" s="64" t="n"/>
      <c r="K212" s="64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93" t="n"/>
      <c r="C213" s="95" t="n"/>
      <c r="D213" s="97" t="n"/>
      <c r="E213" s="93" t="n"/>
      <c r="F213" s="95" t="n"/>
      <c r="G213" s="97" t="n"/>
      <c r="H213" s="93" t="n"/>
      <c r="I213" s="95" t="n"/>
      <c r="J213" s="97" t="n"/>
      <c r="K213" s="109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128" t="n"/>
      <c r="C214" s="129" t="n"/>
      <c r="D214" s="130" t="n"/>
      <c r="E214" s="128" t="n"/>
      <c r="F214" s="129" t="n"/>
      <c r="G214" s="130" t="n"/>
      <c r="H214" s="128" t="n"/>
      <c r="I214" s="129" t="n"/>
      <c r="J214" s="130" t="n"/>
      <c r="K214" s="117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128" t="n"/>
      <c r="C215" s="129" t="n"/>
      <c r="D215" s="130" t="n"/>
      <c r="E215" s="128" t="n"/>
      <c r="F215" s="129" t="n"/>
      <c r="G215" s="130" t="n"/>
      <c r="H215" s="128" t="n"/>
      <c r="I215" s="129" t="n"/>
      <c r="J215" s="130" t="n"/>
      <c r="K215" s="117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128" t="n"/>
      <c r="C216" s="129" t="n"/>
      <c r="D216" s="130" t="n"/>
      <c r="E216" s="128" t="n"/>
      <c r="F216" s="129" t="n"/>
      <c r="G216" s="130" t="n"/>
      <c r="H216" s="128" t="n"/>
      <c r="I216" s="129" t="n"/>
      <c r="J216" s="130" t="n"/>
      <c r="K216" s="117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134" t="n"/>
      <c r="C217" s="135" t="n"/>
      <c r="D217" s="136" t="n"/>
      <c r="E217" s="134" t="n"/>
      <c r="F217" s="135" t="n"/>
      <c r="G217" s="136" t="n"/>
      <c r="H217" s="134" t="n"/>
      <c r="I217" s="135" t="n"/>
      <c r="J217" s="136" t="n"/>
      <c r="K217" s="124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118" t="n"/>
      <c r="C218" s="118" t="n"/>
      <c r="D218" s="119" t="n"/>
      <c r="E218" s="118" t="n"/>
      <c r="F218" s="118" t="n"/>
      <c r="G218" s="119" t="n"/>
      <c r="H218" s="118" t="n"/>
      <c r="I218" s="118" t="n"/>
      <c r="J218" s="119" t="n"/>
      <c r="K218" s="119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121" t="n"/>
      <c r="C219" s="121" t="n"/>
      <c r="D219" s="64" t="n"/>
      <c r="E219" s="121" t="n"/>
      <c r="F219" s="121" t="n"/>
      <c r="G219" s="64" t="n"/>
      <c r="H219" s="121" t="n"/>
      <c r="I219" s="121" t="n"/>
      <c r="J219" s="64" t="n"/>
      <c r="K219" s="64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93" t="n"/>
      <c r="C220" s="95" t="n"/>
      <c r="D220" s="97" t="n"/>
      <c r="E220" s="93" t="n"/>
      <c r="F220" s="95" t="n"/>
      <c r="G220" s="97" t="n"/>
      <c r="H220" s="93" t="n"/>
      <c r="I220" s="95" t="n"/>
      <c r="J220" s="97" t="n"/>
      <c r="K220" s="109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128" t="n"/>
      <c r="C221" s="129" t="n"/>
      <c r="D221" s="130" t="n"/>
      <c r="E221" s="128" t="n"/>
      <c r="F221" s="129" t="n"/>
      <c r="G221" s="130" t="n"/>
      <c r="H221" s="128" t="n"/>
      <c r="I221" s="129" t="n"/>
      <c r="J221" s="130" t="n"/>
      <c r="K221" s="117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128" t="n"/>
      <c r="C222" s="129" t="n"/>
      <c r="D222" s="130" t="n"/>
      <c r="E222" s="128" t="n"/>
      <c r="F222" s="129" t="n"/>
      <c r="G222" s="130" t="n"/>
      <c r="H222" s="128" t="n"/>
      <c r="I222" s="129" t="n"/>
      <c r="J222" s="130" t="n"/>
      <c r="K222" s="117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128" t="n"/>
      <c r="C223" s="129" t="n"/>
      <c r="D223" s="130" t="n"/>
      <c r="E223" s="128" t="n"/>
      <c r="F223" s="129" t="n"/>
      <c r="G223" s="130" t="n"/>
      <c r="H223" s="128" t="n"/>
      <c r="I223" s="129" t="n"/>
      <c r="J223" s="130" t="n"/>
      <c r="K223" s="117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134" t="n"/>
      <c r="C224" s="135" t="n"/>
      <c r="D224" s="136" t="n"/>
      <c r="E224" s="134" t="n"/>
      <c r="F224" s="135" t="n"/>
      <c r="G224" s="136" t="n"/>
      <c r="H224" s="134" t="n"/>
      <c r="I224" s="135" t="n"/>
      <c r="J224" s="136" t="n"/>
      <c r="K224" s="124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118" t="n"/>
      <c r="C225" s="118" t="n"/>
      <c r="D225" s="119" t="n"/>
      <c r="E225" s="118" t="n"/>
      <c r="F225" s="118" t="n"/>
      <c r="G225" s="119" t="n"/>
      <c r="H225" s="118" t="n"/>
      <c r="I225" s="118" t="n"/>
      <c r="J225" s="119" t="n"/>
      <c r="K225" s="119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121" t="n"/>
      <c r="C226" s="121" t="n"/>
      <c r="D226" s="64" t="n"/>
      <c r="E226" s="121" t="n"/>
      <c r="F226" s="121" t="n"/>
      <c r="G226" s="64" t="n"/>
      <c r="H226" s="121" t="n"/>
      <c r="I226" s="121" t="n"/>
      <c r="J226" s="64" t="n"/>
      <c r="K226" s="64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93" t="n"/>
      <c r="C227" s="95" t="n"/>
      <c r="D227" s="97" t="n"/>
      <c r="E227" s="93" t="n"/>
      <c r="F227" s="95" t="n"/>
      <c r="G227" s="97" t="n"/>
      <c r="H227" s="93" t="n"/>
      <c r="I227" s="95" t="n"/>
      <c r="J227" s="97" t="n"/>
      <c r="K227" s="109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128" t="n"/>
      <c r="C228" s="129" t="n"/>
      <c r="D228" s="130" t="n"/>
      <c r="E228" s="128" t="n"/>
      <c r="F228" s="129" t="n"/>
      <c r="G228" s="130" t="n"/>
      <c r="H228" s="128" t="n"/>
      <c r="I228" s="129" t="n"/>
      <c r="J228" s="130" t="n"/>
      <c r="K228" s="117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128" t="n"/>
      <c r="C229" s="129" t="n"/>
      <c r="D229" s="130" t="n"/>
      <c r="E229" s="128" t="n"/>
      <c r="F229" s="129" t="n"/>
      <c r="G229" s="130" t="n"/>
      <c r="H229" s="128" t="n"/>
      <c r="I229" s="129" t="n"/>
      <c r="J229" s="130" t="n"/>
      <c r="K229" s="117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128" t="n"/>
      <c r="C230" s="129" t="n"/>
      <c r="D230" s="130" t="n"/>
      <c r="E230" s="128" t="n"/>
      <c r="F230" s="129" t="n"/>
      <c r="G230" s="130" t="n"/>
      <c r="H230" s="128" t="n"/>
      <c r="I230" s="129" t="n"/>
      <c r="J230" s="130" t="n"/>
      <c r="K230" s="117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134" t="n"/>
      <c r="C231" s="135" t="n"/>
      <c r="D231" s="136" t="n"/>
      <c r="E231" s="134" t="n"/>
      <c r="F231" s="135" t="n"/>
      <c r="G231" s="136" t="n"/>
      <c r="H231" s="134" t="n"/>
      <c r="I231" s="135" t="n"/>
      <c r="J231" s="136" t="n"/>
      <c r="K231" s="124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118" t="n"/>
      <c r="C232" s="118" t="n"/>
      <c r="D232" s="119" t="n"/>
      <c r="E232" s="118" t="n"/>
      <c r="F232" s="118" t="n"/>
      <c r="G232" s="119" t="n"/>
      <c r="H232" s="118" t="n"/>
      <c r="I232" s="118" t="n"/>
      <c r="J232" s="119" t="n"/>
      <c r="K232" s="119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121" t="n"/>
      <c r="C233" s="121" t="n"/>
      <c r="D233" s="64" t="n"/>
      <c r="E233" s="121" t="n"/>
      <c r="F233" s="121" t="n"/>
      <c r="G233" s="64" t="n"/>
      <c r="H233" s="121" t="n"/>
      <c r="I233" s="121" t="n"/>
      <c r="J233" s="64" t="n"/>
      <c r="K233" s="64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93" t="n"/>
      <c r="C234" s="95" t="n"/>
      <c r="D234" s="97" t="n"/>
      <c r="E234" s="93" t="n"/>
      <c r="F234" s="95" t="n"/>
      <c r="G234" s="97" t="n"/>
      <c r="H234" s="93" t="n"/>
      <c r="I234" s="95" t="n"/>
      <c r="J234" s="97" t="n"/>
      <c r="K234" s="109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128" t="n"/>
      <c r="C235" s="129" t="n"/>
      <c r="D235" s="130" t="n"/>
      <c r="E235" s="128" t="n"/>
      <c r="F235" s="129" t="n"/>
      <c r="G235" s="130" t="n"/>
      <c r="H235" s="128" t="n"/>
      <c r="I235" s="129" t="n"/>
      <c r="J235" s="130" t="n"/>
      <c r="K235" s="117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128" t="n"/>
      <c r="C236" s="129" t="n"/>
      <c r="D236" s="130" t="n"/>
      <c r="E236" s="128" t="n"/>
      <c r="F236" s="129" t="n"/>
      <c r="G236" s="130" t="n"/>
      <c r="H236" s="128" t="n"/>
      <c r="I236" s="129" t="n"/>
      <c r="J236" s="130" t="n"/>
      <c r="K236" s="117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128" t="n"/>
      <c r="C237" s="129" t="n"/>
      <c r="D237" s="130" t="n"/>
      <c r="E237" s="128" t="n"/>
      <c r="F237" s="129" t="n"/>
      <c r="G237" s="130" t="n"/>
      <c r="H237" s="128" t="n"/>
      <c r="I237" s="129" t="n"/>
      <c r="J237" s="130" t="n"/>
      <c r="K237" s="117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134" t="n"/>
      <c r="C238" s="135" t="n"/>
      <c r="D238" s="136" t="n"/>
      <c r="E238" s="134" t="n"/>
      <c r="F238" s="135" t="n"/>
      <c r="G238" s="136" t="n"/>
      <c r="H238" s="134" t="n"/>
      <c r="I238" s="135" t="n"/>
      <c r="J238" s="136" t="n"/>
      <c r="K238" s="124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118" t="n"/>
      <c r="C239" s="118" t="n"/>
      <c r="D239" s="119" t="n"/>
      <c r="E239" s="118" t="n"/>
      <c r="F239" s="118" t="n"/>
      <c r="G239" s="119" t="n"/>
      <c r="H239" s="118" t="n"/>
      <c r="I239" s="118" t="n"/>
      <c r="J239" s="119" t="n"/>
      <c r="K239" s="119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121" t="n"/>
      <c r="C240" s="121" t="n"/>
      <c r="D240" s="64" t="n"/>
      <c r="E240" s="121" t="n"/>
      <c r="F240" s="121" t="n"/>
      <c r="G240" s="64" t="n"/>
      <c r="H240" s="121" t="n"/>
      <c r="I240" s="121" t="n"/>
      <c r="J240" s="64" t="n"/>
      <c r="K240" s="64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93" t="n"/>
      <c r="C241" s="95" t="n"/>
      <c r="D241" s="97" t="n"/>
      <c r="E241" s="93" t="n"/>
      <c r="F241" s="95" t="n"/>
      <c r="G241" s="97" t="n"/>
      <c r="H241" s="93" t="n"/>
      <c r="I241" s="95" t="n"/>
      <c r="J241" s="97" t="n"/>
      <c r="K241" s="109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128" t="n"/>
      <c r="C242" s="129" t="n"/>
      <c r="D242" s="130" t="n"/>
      <c r="E242" s="128" t="n"/>
      <c r="F242" s="129" t="n"/>
      <c r="G242" s="130" t="n"/>
      <c r="H242" s="128" t="n"/>
      <c r="I242" s="129" t="n"/>
      <c r="J242" s="130" t="n"/>
      <c r="K242" s="117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128" t="n"/>
      <c r="C243" s="129" t="n"/>
      <c r="D243" s="130" t="n"/>
      <c r="E243" s="128" t="n"/>
      <c r="F243" s="129" t="n"/>
      <c r="G243" s="130" t="n"/>
      <c r="H243" s="128" t="n"/>
      <c r="I243" s="129" t="n"/>
      <c r="J243" s="130" t="n"/>
      <c r="K243" s="117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128" t="n"/>
      <c r="C244" s="129" t="n"/>
      <c r="D244" s="130" t="n"/>
      <c r="E244" s="128" t="n"/>
      <c r="F244" s="129" t="n"/>
      <c r="G244" s="130" t="n"/>
      <c r="H244" s="128" t="n"/>
      <c r="I244" s="129" t="n"/>
      <c r="J244" s="130" t="n"/>
      <c r="K244" s="117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134" t="n"/>
      <c r="C245" s="135" t="n"/>
      <c r="D245" s="136" t="n"/>
      <c r="E245" s="134" t="n"/>
      <c r="F245" s="135" t="n"/>
      <c r="G245" s="136" t="n"/>
      <c r="H245" s="134" t="n"/>
      <c r="I245" s="135" t="n"/>
      <c r="J245" s="136" t="n"/>
      <c r="K245" s="124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118" t="n"/>
      <c r="C246" s="118" t="n"/>
      <c r="D246" s="119" t="n"/>
      <c r="E246" s="118" t="n"/>
      <c r="F246" s="118" t="n"/>
      <c r="G246" s="119" t="n"/>
      <c r="H246" s="118" t="n"/>
      <c r="I246" s="118" t="n"/>
      <c r="J246" s="119" t="n"/>
      <c r="K246" s="119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121" t="n"/>
      <c r="C247" s="121" t="n"/>
      <c r="D247" s="64" t="n"/>
      <c r="E247" s="121" t="n"/>
      <c r="F247" s="121" t="n"/>
      <c r="G247" s="64" t="n"/>
      <c r="H247" s="121" t="n"/>
      <c r="I247" s="121" t="n"/>
      <c r="J247" s="64" t="n"/>
      <c r="K247" s="64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93" t="n"/>
      <c r="C248" s="95" t="n"/>
      <c r="D248" s="97" t="n"/>
      <c r="E248" s="93" t="n"/>
      <c r="F248" s="95" t="n"/>
      <c r="G248" s="97" t="n"/>
      <c r="H248" s="93" t="n"/>
      <c r="I248" s="95" t="n"/>
      <c r="J248" s="97" t="n"/>
      <c r="K248" s="109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128" t="n"/>
      <c r="C249" s="129" t="n"/>
      <c r="D249" s="130" t="n"/>
      <c r="E249" s="128" t="n"/>
      <c r="F249" s="129" t="n"/>
      <c r="G249" s="130" t="n"/>
      <c r="H249" s="128" t="n"/>
      <c r="I249" s="129" t="n"/>
      <c r="J249" s="130" t="n"/>
      <c r="K249" s="117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128" t="n"/>
      <c r="C250" s="129" t="n"/>
      <c r="D250" s="130" t="n"/>
      <c r="E250" s="128" t="n"/>
      <c r="F250" s="129" t="n"/>
      <c r="G250" s="130" t="n"/>
      <c r="H250" s="128" t="n"/>
      <c r="I250" s="129" t="n"/>
      <c r="J250" s="130" t="n"/>
      <c r="K250" s="117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128" t="n"/>
      <c r="C251" s="129" t="n"/>
      <c r="D251" s="130" t="n"/>
      <c r="E251" s="128" t="n"/>
      <c r="F251" s="129" t="n"/>
      <c r="G251" s="130" t="n"/>
      <c r="H251" s="128" t="n"/>
      <c r="I251" s="129" t="n"/>
      <c r="J251" s="130" t="n"/>
      <c r="K251" s="117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134" t="n"/>
      <c r="C252" s="135" t="n"/>
      <c r="D252" s="136" t="n"/>
      <c r="E252" s="134" t="n"/>
      <c r="F252" s="135" t="n"/>
      <c r="G252" s="136" t="n"/>
      <c r="H252" s="134" t="n"/>
      <c r="I252" s="135" t="n"/>
      <c r="J252" s="136" t="n"/>
      <c r="K252" s="124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118" t="n"/>
      <c r="C253" s="118" t="n"/>
      <c r="D253" s="119" t="n"/>
      <c r="E253" s="118" t="n"/>
      <c r="F253" s="118" t="n"/>
      <c r="G253" s="119" t="n"/>
      <c r="H253" s="118" t="n"/>
      <c r="I253" s="118" t="n"/>
      <c r="J253" s="119" t="n"/>
      <c r="K253" s="119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121" t="n"/>
      <c r="C254" s="121" t="n"/>
      <c r="D254" s="64" t="n"/>
      <c r="E254" s="121" t="n"/>
      <c r="F254" s="121" t="n"/>
      <c r="G254" s="64" t="n"/>
      <c r="H254" s="121" t="n"/>
      <c r="I254" s="121" t="n"/>
      <c r="J254" s="64" t="n"/>
      <c r="K254" s="64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93" t="n"/>
      <c r="C255" s="95" t="n"/>
      <c r="D255" s="97" t="n"/>
      <c r="E255" s="93" t="n"/>
      <c r="F255" s="95" t="n"/>
      <c r="G255" s="97" t="n"/>
      <c r="H255" s="93" t="n"/>
      <c r="I255" s="95" t="n"/>
      <c r="J255" s="97" t="n"/>
      <c r="K255" s="109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128" t="n"/>
      <c r="C256" s="129" t="n"/>
      <c r="D256" s="130" t="n"/>
      <c r="E256" s="128" t="n"/>
      <c r="F256" s="129" t="n"/>
      <c r="G256" s="130" t="n"/>
      <c r="H256" s="128" t="n"/>
      <c r="I256" s="129" t="n"/>
      <c r="J256" s="130" t="n"/>
      <c r="K256" s="117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128" t="n"/>
      <c r="C257" s="129" t="n"/>
      <c r="D257" s="130" t="n"/>
      <c r="E257" s="128" t="n"/>
      <c r="F257" s="129" t="n"/>
      <c r="G257" s="130" t="n"/>
      <c r="H257" s="128" t="n"/>
      <c r="I257" s="129" t="n"/>
      <c r="J257" s="130" t="n"/>
      <c r="K257" s="117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128" t="n"/>
      <c r="C258" s="129" t="n"/>
      <c r="D258" s="130" t="n"/>
      <c r="E258" s="128" t="n"/>
      <c r="F258" s="129" t="n"/>
      <c r="G258" s="130" t="n"/>
      <c r="H258" s="128" t="n"/>
      <c r="I258" s="129" t="n"/>
      <c r="J258" s="130" t="n"/>
      <c r="K258" s="117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134" t="n"/>
      <c r="C259" s="135" t="n"/>
      <c r="D259" s="136" t="n"/>
      <c r="E259" s="134" t="n"/>
      <c r="F259" s="135" t="n"/>
      <c r="G259" s="136" t="n"/>
      <c r="H259" s="134" t="n"/>
      <c r="I259" s="135" t="n"/>
      <c r="J259" s="136" t="n"/>
      <c r="K259" s="124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118" t="n"/>
      <c r="C260" s="118" t="n"/>
      <c r="D260" s="119" t="n"/>
      <c r="E260" s="118" t="n"/>
      <c r="F260" s="118" t="n"/>
      <c r="G260" s="119" t="n"/>
      <c r="H260" s="118" t="n"/>
      <c r="I260" s="118" t="n"/>
      <c r="J260" s="119" t="n"/>
      <c r="K260" s="119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121" t="n"/>
      <c r="C261" s="121" t="n"/>
      <c r="D261" s="64" t="n"/>
      <c r="E261" s="121" t="n"/>
      <c r="F261" s="121" t="n"/>
      <c r="G261" s="64" t="n"/>
      <c r="H261" s="121" t="n"/>
      <c r="I261" s="121" t="n"/>
      <c r="J261" s="64" t="n"/>
      <c r="K261" s="64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93" t="n"/>
      <c r="C262" s="95" t="n"/>
      <c r="D262" s="97" t="n"/>
      <c r="E262" s="93" t="n"/>
      <c r="F262" s="95" t="n"/>
      <c r="G262" s="97" t="n"/>
      <c r="H262" s="93" t="n"/>
      <c r="I262" s="95" t="n"/>
      <c r="J262" s="97" t="n"/>
      <c r="K262" s="109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128" t="n"/>
      <c r="C263" s="129" t="n"/>
      <c r="D263" s="130" t="n"/>
      <c r="E263" s="128" t="n"/>
      <c r="F263" s="129" t="n"/>
      <c r="G263" s="130" t="n"/>
      <c r="H263" s="128" t="n"/>
      <c r="I263" s="129" t="n"/>
      <c r="J263" s="130" t="n"/>
      <c r="K263" s="117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128" t="n"/>
      <c r="C264" s="129" t="n"/>
      <c r="D264" s="130" t="n"/>
      <c r="E264" s="128" t="n"/>
      <c r="F264" s="129" t="n"/>
      <c r="G264" s="130" t="n"/>
      <c r="H264" s="128" t="n"/>
      <c r="I264" s="129" t="n"/>
      <c r="J264" s="130" t="n"/>
      <c r="K264" s="117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128" t="n"/>
      <c r="C265" s="129" t="n"/>
      <c r="D265" s="130" t="n"/>
      <c r="E265" s="128" t="n"/>
      <c r="F265" s="129" t="n"/>
      <c r="G265" s="130" t="n"/>
      <c r="H265" s="128" t="n"/>
      <c r="I265" s="129" t="n"/>
      <c r="J265" s="130" t="n"/>
      <c r="K265" s="117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134" t="n"/>
      <c r="C266" s="135" t="n"/>
      <c r="D266" s="136" t="n"/>
      <c r="E266" s="134" t="n"/>
      <c r="F266" s="135" t="n"/>
      <c r="G266" s="136" t="n"/>
      <c r="H266" s="134" t="n"/>
      <c r="I266" s="135" t="n"/>
      <c r="J266" s="136" t="n"/>
      <c r="K266" s="124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118" t="n"/>
      <c r="C267" s="118" t="n"/>
      <c r="D267" s="119" t="n"/>
      <c r="E267" s="118" t="n"/>
      <c r="F267" s="118" t="n"/>
      <c r="G267" s="119" t="n"/>
      <c r="H267" s="118" t="n"/>
      <c r="I267" s="118" t="n"/>
      <c r="J267" s="119" t="n"/>
      <c r="K267" s="119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121" t="n"/>
      <c r="C268" s="121" t="n"/>
      <c r="D268" s="64" t="n"/>
      <c r="E268" s="121" t="n"/>
      <c r="F268" s="121" t="n"/>
      <c r="G268" s="64" t="n"/>
      <c r="H268" s="121" t="n"/>
      <c r="I268" s="121" t="n"/>
      <c r="J268" s="64" t="n"/>
      <c r="K268" s="64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93" t="n"/>
      <c r="C269" s="95" t="n"/>
      <c r="D269" s="97" t="n"/>
      <c r="E269" s="93" t="n"/>
      <c r="F269" s="95" t="n"/>
      <c r="G269" s="97" t="n"/>
      <c r="H269" s="93" t="n"/>
      <c r="I269" s="95" t="n"/>
      <c r="J269" s="97" t="n"/>
      <c r="K269" s="109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128" t="n"/>
      <c r="C270" s="129" t="n"/>
      <c r="D270" s="130" t="n"/>
      <c r="E270" s="128" t="n"/>
      <c r="F270" s="129" t="n"/>
      <c r="G270" s="130" t="n"/>
      <c r="H270" s="128" t="n"/>
      <c r="I270" s="129" t="n"/>
      <c r="J270" s="130" t="n"/>
      <c r="K270" s="117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128" t="n"/>
      <c r="C271" s="129" t="n"/>
      <c r="D271" s="130" t="n"/>
      <c r="E271" s="128" t="n"/>
      <c r="F271" s="129" t="n"/>
      <c r="G271" s="130" t="n"/>
      <c r="H271" s="128" t="n"/>
      <c r="I271" s="129" t="n"/>
      <c r="J271" s="130" t="n"/>
      <c r="K271" s="117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128" t="n"/>
      <c r="C272" s="129" t="n"/>
      <c r="D272" s="130" t="n"/>
      <c r="E272" s="128" t="n"/>
      <c r="F272" s="129" t="n"/>
      <c r="G272" s="130" t="n"/>
      <c r="H272" s="128" t="n"/>
      <c r="I272" s="129" t="n"/>
      <c r="J272" s="130" t="n"/>
      <c r="K272" s="117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134" t="n"/>
      <c r="C273" s="135" t="n"/>
      <c r="D273" s="136" t="n"/>
      <c r="E273" s="134" t="n"/>
      <c r="F273" s="135" t="n"/>
      <c r="G273" s="136" t="n"/>
      <c r="H273" s="134" t="n"/>
      <c r="I273" s="135" t="n"/>
      <c r="J273" s="136" t="n"/>
      <c r="K273" s="124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118" t="n"/>
      <c r="C274" s="118" t="n"/>
      <c r="D274" s="119" t="n"/>
      <c r="E274" s="118" t="n"/>
      <c r="F274" s="118" t="n"/>
      <c r="G274" s="119" t="n"/>
      <c r="H274" s="118" t="n"/>
      <c r="I274" s="118" t="n"/>
      <c r="J274" s="119" t="n"/>
      <c r="K274" s="119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121" t="n"/>
      <c r="C275" s="121" t="n"/>
      <c r="D275" s="64" t="n"/>
      <c r="E275" s="121" t="n"/>
      <c r="F275" s="121" t="n"/>
      <c r="G275" s="64" t="n"/>
      <c r="H275" s="121" t="n"/>
      <c r="I275" s="121" t="n"/>
      <c r="J275" s="64" t="n"/>
      <c r="K275" s="64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93" t="n"/>
      <c r="C276" s="95" t="n"/>
      <c r="D276" s="97" t="n"/>
      <c r="E276" s="93" t="n"/>
      <c r="F276" s="95" t="n"/>
      <c r="G276" s="97" t="n"/>
      <c r="H276" s="93" t="n"/>
      <c r="I276" s="95" t="n"/>
      <c r="J276" s="97" t="n"/>
      <c r="K276" s="109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128" t="n"/>
      <c r="C277" s="129" t="n"/>
      <c r="D277" s="130" t="n"/>
      <c r="E277" s="128" t="n"/>
      <c r="F277" s="129" t="n"/>
      <c r="G277" s="130" t="n"/>
      <c r="H277" s="128" t="n"/>
      <c r="I277" s="129" t="n"/>
      <c r="J277" s="130" t="n"/>
      <c r="K277" s="117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128" t="n"/>
      <c r="C278" s="129" t="n"/>
      <c r="D278" s="130" t="n"/>
      <c r="E278" s="128" t="n"/>
      <c r="F278" s="129" t="n"/>
      <c r="G278" s="130" t="n"/>
      <c r="H278" s="128" t="n"/>
      <c r="I278" s="129" t="n"/>
      <c r="J278" s="130" t="n"/>
      <c r="K278" s="117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128" t="n"/>
      <c r="C279" s="129" t="n"/>
      <c r="D279" s="130" t="n"/>
      <c r="E279" s="128" t="n"/>
      <c r="F279" s="129" t="n"/>
      <c r="G279" s="130" t="n"/>
      <c r="H279" s="128" t="n"/>
      <c r="I279" s="129" t="n"/>
      <c r="J279" s="130" t="n"/>
      <c r="K279" s="117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134" t="n"/>
      <c r="C280" s="135" t="n"/>
      <c r="D280" s="136" t="n"/>
      <c r="E280" s="134" t="n"/>
      <c r="F280" s="135" t="n"/>
      <c r="G280" s="136" t="n"/>
      <c r="H280" s="134" t="n"/>
      <c r="I280" s="135" t="n"/>
      <c r="J280" s="136" t="n"/>
      <c r="K280" s="124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118" t="n"/>
      <c r="C281" s="118" t="n"/>
      <c r="D281" s="119" t="n"/>
      <c r="E281" s="118" t="n"/>
      <c r="F281" s="118" t="n"/>
      <c r="G281" s="119" t="n"/>
      <c r="H281" s="118" t="n"/>
      <c r="I281" s="118" t="n"/>
      <c r="J281" s="119" t="n"/>
      <c r="K281" s="119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121" t="n"/>
      <c r="C282" s="121" t="n"/>
      <c r="D282" s="64" t="n"/>
      <c r="E282" s="121" t="n"/>
      <c r="F282" s="121" t="n"/>
      <c r="G282" s="64" t="n"/>
      <c r="H282" s="121" t="n"/>
      <c r="I282" s="121" t="n"/>
      <c r="J282" s="64" t="n"/>
      <c r="K282" s="64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93" t="n"/>
      <c r="C283" s="95" t="n"/>
      <c r="D283" s="97" t="n"/>
      <c r="E283" s="93" t="n"/>
      <c r="F283" s="95" t="n"/>
      <c r="G283" s="97" t="n"/>
      <c r="H283" s="93" t="n"/>
      <c r="I283" s="95" t="n"/>
      <c r="J283" s="97" t="n"/>
      <c r="K283" s="109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128" t="n"/>
      <c r="C284" s="129" t="n"/>
      <c r="D284" s="130" t="n"/>
      <c r="E284" s="128" t="n"/>
      <c r="F284" s="129" t="n"/>
      <c r="G284" s="130" t="n"/>
      <c r="H284" s="128" t="n"/>
      <c r="I284" s="129" t="n"/>
      <c r="J284" s="130" t="n"/>
      <c r="K284" s="117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128" t="n"/>
      <c r="C285" s="129" t="n"/>
      <c r="D285" s="130" t="n"/>
      <c r="E285" s="128" t="n"/>
      <c r="F285" s="129" t="n"/>
      <c r="G285" s="130" t="n"/>
      <c r="H285" s="128" t="n"/>
      <c r="I285" s="129" t="n"/>
      <c r="J285" s="130" t="n"/>
      <c r="K285" s="117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128" t="n"/>
      <c r="C286" s="129" t="n"/>
      <c r="D286" s="130" t="n"/>
      <c r="E286" s="128" t="n"/>
      <c r="F286" s="129" t="n"/>
      <c r="G286" s="130" t="n"/>
      <c r="H286" s="128" t="n"/>
      <c r="I286" s="129" t="n"/>
      <c r="J286" s="130" t="n"/>
      <c r="K286" s="117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134" t="n"/>
      <c r="C287" s="135" t="n"/>
      <c r="D287" s="136" t="n"/>
      <c r="E287" s="134" t="n"/>
      <c r="F287" s="135" t="n"/>
      <c r="G287" s="136" t="n"/>
      <c r="H287" s="134" t="n"/>
      <c r="I287" s="135" t="n"/>
      <c r="J287" s="136" t="n"/>
      <c r="K287" s="124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118" t="n"/>
      <c r="C288" s="118" t="n"/>
      <c r="D288" s="119" t="n"/>
      <c r="E288" s="118" t="n"/>
      <c r="F288" s="118" t="n"/>
      <c r="G288" s="119" t="n"/>
      <c r="H288" s="118" t="n"/>
      <c r="I288" s="118" t="n"/>
      <c r="J288" s="119" t="n"/>
      <c r="K288" s="119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121" t="n"/>
      <c r="C289" s="121" t="n"/>
      <c r="D289" s="64" t="n"/>
      <c r="E289" s="121" t="n"/>
      <c r="F289" s="121" t="n"/>
      <c r="G289" s="64" t="n"/>
      <c r="H289" s="121" t="n"/>
      <c r="I289" s="121" t="n"/>
      <c r="J289" s="64" t="n"/>
      <c r="K289" s="64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93" t="n"/>
      <c r="C290" s="95" t="n"/>
      <c r="D290" s="97" t="n"/>
      <c r="E290" s="93" t="n"/>
      <c r="F290" s="95" t="n"/>
      <c r="G290" s="97" t="n"/>
      <c r="H290" s="93" t="n"/>
      <c r="I290" s="95" t="n"/>
      <c r="J290" s="97" t="n"/>
      <c r="K290" s="109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128" t="n"/>
      <c r="C291" s="129" t="n"/>
      <c r="D291" s="130" t="n"/>
      <c r="E291" s="128" t="n"/>
      <c r="F291" s="129" t="n"/>
      <c r="G291" s="130" t="n"/>
      <c r="H291" s="128" t="n"/>
      <c r="I291" s="129" t="n"/>
      <c r="J291" s="130" t="n"/>
      <c r="K291" s="117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128" t="n"/>
      <c r="C292" s="129" t="n"/>
      <c r="D292" s="130" t="n"/>
      <c r="E292" s="128" t="n"/>
      <c r="F292" s="129" t="n"/>
      <c r="G292" s="130" t="n"/>
      <c r="H292" s="128" t="n"/>
      <c r="I292" s="129" t="n"/>
      <c r="J292" s="130" t="n"/>
      <c r="K292" s="117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128" t="n"/>
      <c r="C293" s="129" t="n"/>
      <c r="D293" s="130" t="n"/>
      <c r="E293" s="128" t="n"/>
      <c r="F293" s="129" t="n"/>
      <c r="G293" s="130" t="n"/>
      <c r="H293" s="128" t="n"/>
      <c r="I293" s="129" t="n"/>
      <c r="J293" s="130" t="n"/>
      <c r="K293" s="117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134" t="n"/>
      <c r="C294" s="135" t="n"/>
      <c r="D294" s="136" t="n"/>
      <c r="E294" s="134" t="n"/>
      <c r="F294" s="135" t="n"/>
      <c r="G294" s="136" t="n"/>
      <c r="H294" s="134" t="n"/>
      <c r="I294" s="135" t="n"/>
      <c r="J294" s="136" t="n"/>
      <c r="K294" s="124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118" t="n"/>
      <c r="C295" s="118" t="n"/>
      <c r="D295" s="119" t="n"/>
      <c r="E295" s="118" t="n"/>
      <c r="F295" s="118" t="n"/>
      <c r="G295" s="119" t="n"/>
      <c r="H295" s="118" t="n"/>
      <c r="I295" s="118" t="n"/>
      <c r="J295" s="119" t="n"/>
      <c r="K295" s="119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121" t="n"/>
      <c r="C296" s="121" t="n"/>
      <c r="D296" s="64" t="n"/>
      <c r="E296" s="121" t="n"/>
      <c r="F296" s="121" t="n"/>
      <c r="G296" s="64" t="n"/>
      <c r="H296" s="121" t="n"/>
      <c r="I296" s="121" t="n"/>
      <c r="J296" s="64" t="n"/>
      <c r="K296" s="64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93" t="n"/>
      <c r="C297" s="95" t="n"/>
      <c r="D297" s="97" t="n"/>
      <c r="E297" s="93" t="n"/>
      <c r="F297" s="95" t="n"/>
      <c r="G297" s="97" t="n"/>
      <c r="H297" s="93" t="n"/>
      <c r="I297" s="95" t="n"/>
      <c r="J297" s="97" t="n"/>
      <c r="K297" s="109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128" t="n"/>
      <c r="C298" s="129" t="n"/>
      <c r="D298" s="130" t="n"/>
      <c r="E298" s="128" t="n"/>
      <c r="F298" s="129" t="n"/>
      <c r="G298" s="130" t="n"/>
      <c r="H298" s="128" t="n"/>
      <c r="I298" s="129" t="n"/>
      <c r="J298" s="130" t="n"/>
      <c r="K298" s="117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128" t="n"/>
      <c r="C299" s="129" t="n"/>
      <c r="D299" s="130" t="n"/>
      <c r="E299" s="128" t="n"/>
      <c r="F299" s="129" t="n"/>
      <c r="G299" s="130" t="n"/>
      <c r="H299" s="128" t="n"/>
      <c r="I299" s="129" t="n"/>
      <c r="J299" s="130" t="n"/>
      <c r="K299" s="117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128" t="n"/>
      <c r="C300" s="129" t="n"/>
      <c r="D300" s="130" t="n"/>
      <c r="E300" s="128" t="n"/>
      <c r="F300" s="129" t="n"/>
      <c r="G300" s="130" t="n"/>
      <c r="H300" s="128" t="n"/>
      <c r="I300" s="129" t="n"/>
      <c r="J300" s="130" t="n"/>
      <c r="K300" s="117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134" t="n"/>
      <c r="C301" s="135" t="n"/>
      <c r="D301" s="136" t="n"/>
      <c r="E301" s="134" t="n"/>
      <c r="F301" s="135" t="n"/>
      <c r="G301" s="136" t="n"/>
      <c r="H301" s="134" t="n"/>
      <c r="I301" s="135" t="n"/>
      <c r="J301" s="136" t="n"/>
      <c r="K301" s="124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118" t="n"/>
      <c r="C302" s="118" t="n"/>
      <c r="D302" s="119" t="n"/>
      <c r="E302" s="118" t="n"/>
      <c r="F302" s="118" t="n"/>
      <c r="G302" s="119" t="n"/>
      <c r="H302" s="118" t="n"/>
      <c r="I302" s="118" t="n"/>
      <c r="J302" s="119" t="n"/>
      <c r="K302" s="119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121" t="n"/>
      <c r="C303" s="121" t="n"/>
      <c r="D303" s="64" t="n"/>
      <c r="E303" s="121" t="n"/>
      <c r="F303" s="121" t="n"/>
      <c r="G303" s="64" t="n"/>
      <c r="H303" s="121" t="n"/>
      <c r="I303" s="121" t="n"/>
      <c r="J303" s="64" t="n"/>
      <c r="K303" s="64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CESAR YAIR ESPINOSA MARTINEZ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93" t="inlineStr">
        <is>
          <t>ENTRADA 1</t>
        </is>
      </c>
      <c r="C2" s="95" t="inlineStr">
        <is>
          <t>SALIDA 1</t>
        </is>
      </c>
      <c r="D2" s="97" t="inlineStr">
        <is>
          <t>TOTAL 1</t>
        </is>
      </c>
      <c r="E2" s="93" t="inlineStr">
        <is>
          <t>ENTRADA 2</t>
        </is>
      </c>
      <c r="F2" s="95" t="inlineStr">
        <is>
          <t>SALIDA 2</t>
        </is>
      </c>
      <c r="G2" s="97" t="inlineStr">
        <is>
          <t>TOTAL 2</t>
        </is>
      </c>
      <c r="H2" s="93" t="inlineStr">
        <is>
          <t>ENTRADA 3</t>
        </is>
      </c>
      <c r="I2" s="95" t="inlineStr">
        <is>
          <t>SALIDA 3</t>
        </is>
      </c>
      <c r="J2" s="97" t="inlineStr">
        <is>
          <t>TOTAL 3</t>
        </is>
      </c>
      <c r="K2" s="99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102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89" t="inlineStr">
        <is>
          <t>15:18:00</t>
        </is>
      </c>
      <c r="C3" s="90" t="inlineStr">
        <is>
          <t>20:50:00</t>
        </is>
      </c>
      <c r="D3" s="91">
        <f>C3-B3</f>
        <v/>
      </c>
      <c r="E3" s="89" t="n"/>
      <c r="F3" s="90" t="n"/>
      <c r="G3" s="91" t="n"/>
      <c r="H3" s="89" t="n"/>
      <c r="I3" s="90" t="n"/>
      <c r="J3" s="91" t="n"/>
      <c r="K3" s="109">
        <f>D3+G3+J3</f>
        <v/>
      </c>
      <c r="L3" s="110" t="n"/>
      <c r="M3" s="96" t="n"/>
      <c r="N3" s="96" t="n"/>
      <c r="O3" s="96" t="n"/>
      <c r="P3" s="111" t="n">
        <v>9.063344907407407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00" t="inlineStr">
        <is>
          <t>15:13:00</t>
        </is>
      </c>
      <c r="C4" s="101" t="inlineStr">
        <is>
          <t>20:18:00</t>
        </is>
      </c>
      <c r="D4" s="103">
        <f>C4-B4</f>
        <v/>
      </c>
      <c r="E4" s="100" t="n"/>
      <c r="F4" s="101" t="n"/>
      <c r="G4" s="103" t="n"/>
      <c r="H4" s="100" t="n"/>
      <c r="I4" s="101" t="n"/>
      <c r="J4" s="103" t="n"/>
      <c r="K4" s="117">
        <f>D4+G4+J4</f>
        <v/>
      </c>
      <c r="L4" s="173" t="n">
        <v>0.003472222222222222</v>
      </c>
      <c r="M4" s="164" t="n"/>
      <c r="N4" s="164" t="n"/>
      <c r="O4" s="164" t="n"/>
      <c r="P4" s="106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00" t="inlineStr">
        <is>
          <t>15:16:00</t>
        </is>
      </c>
      <c r="C5" s="101" t="inlineStr">
        <is>
          <t>20:18:00</t>
        </is>
      </c>
      <c r="D5" s="103">
        <f>C5-B5</f>
        <v/>
      </c>
      <c r="E5" s="100" t="n"/>
      <c r="F5" s="101" t="n"/>
      <c r="G5" s="103" t="n"/>
      <c r="H5" s="100" t="n"/>
      <c r="I5" s="101" t="n"/>
      <c r="J5" s="103" t="n"/>
      <c r="K5" s="117">
        <f>D5+G5+J5</f>
        <v/>
      </c>
      <c r="L5" s="173" t="n">
        <v>0.001388888888888889</v>
      </c>
      <c r="M5" s="164" t="n"/>
      <c r="N5" s="164" t="n"/>
      <c r="O5" s="164" t="n"/>
      <c r="P5" s="106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00" t="inlineStr">
        <is>
          <t>15:16:00</t>
        </is>
      </c>
      <c r="C6" s="101" t="inlineStr">
        <is>
          <t>20:20:00</t>
        </is>
      </c>
      <c r="D6" s="103">
        <f>C6-B6</f>
        <v/>
      </c>
      <c r="E6" s="100" t="n"/>
      <c r="F6" s="101" t="n"/>
      <c r="G6" s="103" t="n"/>
      <c r="H6" s="100" t="n"/>
      <c r="I6" s="101" t="n"/>
      <c r="J6" s="103" t="n"/>
      <c r="K6" s="117">
        <f>D6+G6+J6</f>
        <v/>
      </c>
      <c r="L6" s="173" t="n">
        <v>0.002777777777777778</v>
      </c>
      <c r="M6" s="164" t="n"/>
      <c r="N6" s="164" t="n"/>
      <c r="O6" s="164" t="n"/>
      <c r="P6" s="106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12" t="inlineStr">
        <is>
          <t>15:21:00</t>
        </is>
      </c>
      <c r="C7" s="113" t="inlineStr">
        <is>
          <t>20:33:00</t>
        </is>
      </c>
      <c r="D7" s="114">
        <f>C7-B7</f>
        <v/>
      </c>
      <c r="E7" s="112" t="n"/>
      <c r="F7" s="113" t="n"/>
      <c r="G7" s="114" t="n"/>
      <c r="H7" s="112" t="n"/>
      <c r="I7" s="113" t="n"/>
      <c r="J7" s="114" t="n"/>
      <c r="K7" s="124">
        <f>D7+G7+J7</f>
        <v/>
      </c>
      <c r="L7" s="174" t="n">
        <v>0.008333333333333333</v>
      </c>
      <c r="M7" s="164" t="n"/>
      <c r="N7" s="164" t="n"/>
      <c r="O7" s="164" t="n"/>
      <c r="P7" s="106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118" t="n"/>
      <c r="C8" s="118" t="n"/>
      <c r="D8" s="119" t="n"/>
      <c r="E8" s="118" t="n"/>
      <c r="F8" s="118" t="n"/>
      <c r="G8" s="119" t="n"/>
      <c r="H8" s="118" t="n"/>
      <c r="I8" s="118" t="n"/>
      <c r="J8" s="119" t="n"/>
      <c r="K8" s="119" t="n"/>
      <c r="L8" s="120" t="n"/>
      <c r="M8" s="164" t="n"/>
      <c r="N8" s="164" t="n"/>
      <c r="O8" s="164" t="n"/>
      <c r="P8" s="106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121" t="n"/>
      <c r="C9" s="121" t="n"/>
      <c r="D9" s="64" t="n"/>
      <c r="E9" s="121" t="n"/>
      <c r="F9" s="121" t="n"/>
      <c r="G9" s="64" t="n"/>
      <c r="H9" s="121" t="n"/>
      <c r="I9" s="121" t="n"/>
      <c r="J9" s="64" t="n"/>
      <c r="K9" s="64" t="n"/>
      <c r="L9" s="122" t="n"/>
      <c r="M9" s="123" t="n"/>
      <c r="N9" s="123" t="n"/>
      <c r="O9" s="123" t="n"/>
      <c r="P9" s="127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93" t="inlineStr">
        <is>
          <t>15:22:17</t>
        </is>
      </c>
      <c r="C10" s="95" t="inlineStr">
        <is>
          <t>20:31:49</t>
        </is>
      </c>
      <c r="D10" s="97" t="inlineStr">
        <is>
          <t>05:09:32</t>
        </is>
      </c>
      <c r="E10" s="93" t="n"/>
      <c r="F10" s="95" t="n"/>
      <c r="G10" s="97" t="n"/>
      <c r="H10" s="93" t="n"/>
      <c r="I10" s="95" t="n"/>
      <c r="J10" s="97" t="n"/>
      <c r="K10" s="109" t="inlineStr">
        <is>
          <t>05:09:32</t>
        </is>
      </c>
      <c r="L10" s="126" t="n">
        <v>0.00662037037037037</v>
      </c>
      <c r="M10" s="34" t="n"/>
      <c r="N10" s="34" t="inlineStr">
        <is>
          <t>Solo 1 hora Justificada</t>
        </is>
      </c>
      <c r="O10" s="34" t="n"/>
      <c r="P10" s="131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28" t="inlineStr">
        <is>
          <t>15:22:19</t>
        </is>
      </c>
      <c r="C11" s="129" t="inlineStr">
        <is>
          <t>20:30:20</t>
        </is>
      </c>
      <c r="D11" s="130" t="inlineStr">
        <is>
          <t>05:08:01</t>
        </is>
      </c>
      <c r="E11" s="128" t="n"/>
      <c r="F11" s="129" t="n"/>
      <c r="G11" s="130" t="n"/>
      <c r="H11" s="128" t="n"/>
      <c r="I11" s="129" t="n"/>
      <c r="J11" s="130" t="n"/>
      <c r="K11" s="117" t="inlineStr">
        <is>
          <t>05:08:01</t>
        </is>
      </c>
      <c r="L11" s="132" t="n">
        <v>0.005567129629629629</v>
      </c>
      <c r="M11" s="164" t="n"/>
      <c r="N11" s="164" t="inlineStr">
        <is>
          <t>Solo 1 hora Justificada</t>
        </is>
      </c>
      <c r="O11" s="164" t="n"/>
      <c r="P11" s="133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28" t="inlineStr">
        <is>
          <t>15:24:53</t>
        </is>
      </c>
      <c r="C12" s="129" t="inlineStr">
        <is>
          <t>20:31:17</t>
        </is>
      </c>
      <c r="D12" s="130" t="inlineStr">
        <is>
          <t>05:06:24</t>
        </is>
      </c>
      <c r="E12" s="128" t="n"/>
      <c r="F12" s="129" t="n"/>
      <c r="G12" s="130" t="n"/>
      <c r="H12" s="128" t="n"/>
      <c r="I12" s="129" t="n"/>
      <c r="J12" s="130" t="n"/>
      <c r="K12" s="117" t="inlineStr">
        <is>
          <t>05:06:24</t>
        </is>
      </c>
      <c r="L12" s="132" t="n">
        <v>0.004444444444444444</v>
      </c>
      <c r="M12" s="164" t="n"/>
      <c r="N12" s="164" t="inlineStr">
        <is>
          <t>Solo 1 hora Justificada</t>
        </is>
      </c>
      <c r="O12" s="164" t="n"/>
      <c r="P12" s="133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28" t="inlineStr">
        <is>
          <t>15:21:57</t>
        </is>
      </c>
      <c r="C13" s="129" t="inlineStr">
        <is>
          <t>20:39:52</t>
        </is>
      </c>
      <c r="D13" s="130" t="inlineStr">
        <is>
          <t>05:17:55</t>
        </is>
      </c>
      <c r="E13" s="128" t="n"/>
      <c r="F13" s="129" t="n"/>
      <c r="G13" s="130" t="n"/>
      <c r="H13" s="128" t="n"/>
      <c r="I13" s="129" t="n"/>
      <c r="J13" s="130" t="n"/>
      <c r="K13" s="117" t="inlineStr">
        <is>
          <t>05:17:55</t>
        </is>
      </c>
      <c r="L13" s="132" t="n">
        <v>0.01180555555555556</v>
      </c>
      <c r="M13" s="164" t="n"/>
      <c r="N13" s="164" t="inlineStr">
        <is>
          <t>Solo 1 hora Justificada</t>
        </is>
      </c>
      <c r="O13" s="164" t="n"/>
      <c r="P13" s="133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34" t="inlineStr">
        <is>
          <t>16:38:09</t>
        </is>
      </c>
      <c r="C14" s="135" t="inlineStr">
        <is>
          <t>20:31:08</t>
        </is>
      </c>
      <c r="D14" s="136" t="inlineStr">
        <is>
          <t>03:52:59</t>
        </is>
      </c>
      <c r="E14" s="134" t="n"/>
      <c r="F14" s="135" t="n"/>
      <c r="G14" s="136" t="n"/>
      <c r="H14" s="134" t="n"/>
      <c r="I14" s="135" t="n"/>
      <c r="J14" s="136" t="n"/>
      <c r="K14" s="124" t="inlineStr">
        <is>
          <t>03:52:59</t>
        </is>
      </c>
      <c r="L14" s="54" t="n"/>
      <c r="M14" s="164" t="n"/>
      <c r="N14" s="164" t="n"/>
      <c r="O14" s="164" t="n"/>
      <c r="P14" s="133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118" t="n"/>
      <c r="C15" s="118" t="n"/>
      <c r="D15" s="119" t="n"/>
      <c r="E15" s="118" t="n"/>
      <c r="F15" s="118" t="n"/>
      <c r="G15" s="119" t="n"/>
      <c r="H15" s="118" t="n"/>
      <c r="I15" s="118" t="n"/>
      <c r="J15" s="119" t="n"/>
      <c r="K15" s="119" t="n"/>
      <c r="L15" s="54" t="n"/>
      <c r="M15" s="164" t="n"/>
      <c r="N15" s="164" t="n"/>
      <c r="O15" s="164" t="n"/>
      <c r="P15" s="133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121" t="n"/>
      <c r="C16" s="121" t="n"/>
      <c r="D16" s="64" t="n"/>
      <c r="E16" s="121" t="n"/>
      <c r="F16" s="121" t="n"/>
      <c r="G16" s="64" t="n"/>
      <c r="H16" s="121" t="n"/>
      <c r="I16" s="121" t="n"/>
      <c r="J16" s="64" t="n"/>
      <c r="K16" s="64" t="n"/>
      <c r="L16" s="65" t="n"/>
      <c r="M16" s="66" t="n"/>
      <c r="N16" s="66" t="n"/>
      <c r="O16" s="66" t="n"/>
      <c r="P16" s="138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93" t="inlineStr">
        <is>
          <t>15:38:58</t>
        </is>
      </c>
      <c r="C17" s="95" t="inlineStr">
        <is>
          <t>20:32:17</t>
        </is>
      </c>
      <c r="D17" s="97" t="inlineStr">
        <is>
          <t>04:53:19</t>
        </is>
      </c>
      <c r="E17" s="93" t="n"/>
      <c r="F17" s="95" t="n"/>
      <c r="G17" s="97" t="n"/>
      <c r="H17" s="93" t="n"/>
      <c r="I17" s="95" t="n"/>
      <c r="J17" s="97" t="n"/>
      <c r="K17" s="109" t="inlineStr">
        <is>
          <t>04:53:19</t>
        </is>
      </c>
      <c r="L17" s="39" t="n"/>
      <c r="M17" s="34" t="n"/>
      <c r="N17" s="34" t="n"/>
      <c r="O17" s="34" t="n"/>
      <c r="P17" s="131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128" t="inlineStr">
        <is>
          <t>15:55:41</t>
        </is>
      </c>
      <c r="C18" s="129" t="inlineStr">
        <is>
          <t>20:37:23</t>
        </is>
      </c>
      <c r="D18" s="130" t="inlineStr">
        <is>
          <t>04:41:42</t>
        </is>
      </c>
      <c r="E18" s="128" t="n"/>
      <c r="F18" s="129" t="n"/>
      <c r="G18" s="130" t="n"/>
      <c r="H18" s="128" t="n"/>
      <c r="I18" s="129" t="n"/>
      <c r="J18" s="130" t="n"/>
      <c r="K18" s="117" t="inlineStr">
        <is>
          <t>04:41:42</t>
        </is>
      </c>
      <c r="L18" s="46" t="n"/>
      <c r="M18" s="164" t="n"/>
      <c r="N18" s="164" t="n"/>
      <c r="O18" s="164" t="n"/>
      <c r="P18" s="133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128" t="inlineStr">
        <is>
          <t>15:22:05</t>
        </is>
      </c>
      <c r="C19" s="129" t="inlineStr">
        <is>
          <t>20:34:04</t>
        </is>
      </c>
      <c r="D19" s="130" t="inlineStr">
        <is>
          <t>05:11:59</t>
        </is>
      </c>
      <c r="E19" s="128" t="n"/>
      <c r="F19" s="129" t="n"/>
      <c r="G19" s="130" t="n"/>
      <c r="H19" s="128" t="n"/>
      <c r="I19" s="129" t="n"/>
      <c r="J19" s="130" t="n"/>
      <c r="K19" s="117" t="inlineStr">
        <is>
          <t>05:11:59</t>
        </is>
      </c>
      <c r="L19" s="46" t="n"/>
      <c r="M19" s="164" t="n"/>
      <c r="N19" s="164" t="n"/>
      <c r="O19" s="164" t="n"/>
      <c r="P19" s="133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128" t="n"/>
      <c r="C20" s="129" t="n"/>
      <c r="D20" s="130" t="n"/>
      <c r="E20" s="128" t="n"/>
      <c r="F20" s="129" t="n"/>
      <c r="G20" s="130" t="n"/>
      <c r="H20" s="128" t="n"/>
      <c r="I20" s="129" t="n"/>
      <c r="J20" s="130" t="n"/>
      <c r="K20" s="117" t="n"/>
      <c r="L20" s="46" t="n"/>
      <c r="M20" s="164" t="n"/>
      <c r="N20" s="164" t="n"/>
      <c r="O20" s="164" t="n"/>
      <c r="P20" s="133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134" t="n"/>
      <c r="C21" s="135" t="n"/>
      <c r="D21" s="136" t="n"/>
      <c r="E21" s="134" t="n"/>
      <c r="F21" s="135" t="n"/>
      <c r="G21" s="136" t="n"/>
      <c r="H21" s="134" t="n"/>
      <c r="I21" s="135" t="n"/>
      <c r="J21" s="136" t="n"/>
      <c r="K21" s="124" t="n"/>
      <c r="L21" s="54" t="n"/>
      <c r="M21" s="164" t="n"/>
      <c r="N21" s="164" t="n"/>
      <c r="O21" s="164" t="n"/>
      <c r="P21" s="133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118" t="n"/>
      <c r="C22" s="118" t="n"/>
      <c r="D22" s="119" t="n"/>
      <c r="E22" s="118" t="n"/>
      <c r="F22" s="118" t="n"/>
      <c r="G22" s="119" t="n"/>
      <c r="H22" s="118" t="n"/>
      <c r="I22" s="118" t="n"/>
      <c r="J22" s="119" t="n"/>
      <c r="K22" s="119" t="n"/>
      <c r="L22" s="54" t="n"/>
      <c r="M22" s="164" t="n"/>
      <c r="N22" s="164" t="n"/>
      <c r="O22" s="164" t="n"/>
      <c r="P22" s="133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121" t="n"/>
      <c r="C23" s="121" t="n"/>
      <c r="D23" s="64" t="n"/>
      <c r="E23" s="121" t="n"/>
      <c r="F23" s="121" t="n"/>
      <c r="G23" s="64" t="n"/>
      <c r="H23" s="121" t="n"/>
      <c r="I23" s="121" t="n"/>
      <c r="J23" s="64" t="n"/>
      <c r="K23" s="64" t="n"/>
      <c r="L23" s="65" t="n"/>
      <c r="M23" s="66" t="n"/>
      <c r="N23" s="66" t="n"/>
      <c r="O23" s="66" t="n"/>
      <c r="P23" s="138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93" t="n"/>
      <c r="C24" s="95" t="n"/>
      <c r="D24" s="97" t="n"/>
      <c r="E24" s="93" t="n"/>
      <c r="F24" s="95" t="n"/>
      <c r="G24" s="97" t="n"/>
      <c r="H24" s="93" t="n"/>
      <c r="I24" s="95" t="n"/>
      <c r="J24" s="97" t="n"/>
      <c r="K24" s="109" t="n"/>
      <c r="L24" s="39" t="n"/>
      <c r="M24" s="34" t="n"/>
      <c r="N24" s="34" t="n"/>
      <c r="O24" s="34" t="n"/>
      <c r="P24" s="131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128" t="n"/>
      <c r="C25" s="129" t="n"/>
      <c r="D25" s="130" t="n"/>
      <c r="E25" s="128" t="n"/>
      <c r="F25" s="129" t="n"/>
      <c r="G25" s="130" t="n"/>
      <c r="H25" s="128" t="n"/>
      <c r="I25" s="129" t="n"/>
      <c r="J25" s="130" t="n"/>
      <c r="K25" s="117" t="n"/>
      <c r="L25" s="46" t="n"/>
      <c r="M25" s="164" t="n"/>
      <c r="N25" s="164" t="n"/>
      <c r="O25" s="164" t="n"/>
      <c r="P25" s="133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128" t="n"/>
      <c r="C26" s="129" t="n"/>
      <c r="D26" s="130" t="n"/>
      <c r="E26" s="128" t="n"/>
      <c r="F26" s="129" t="n"/>
      <c r="G26" s="130" t="n"/>
      <c r="H26" s="128" t="n"/>
      <c r="I26" s="129" t="n"/>
      <c r="J26" s="130" t="n"/>
      <c r="K26" s="117" t="n"/>
      <c r="L26" s="46" t="n"/>
      <c r="M26" s="164" t="n"/>
      <c r="N26" s="164" t="n"/>
      <c r="O26" s="164" t="n"/>
      <c r="P26" s="133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128" t="n"/>
      <c r="C27" s="129" t="n"/>
      <c r="D27" s="130" t="n"/>
      <c r="E27" s="128" t="n"/>
      <c r="F27" s="129" t="n"/>
      <c r="G27" s="130" t="n"/>
      <c r="H27" s="128" t="n"/>
      <c r="I27" s="129" t="n"/>
      <c r="J27" s="130" t="n"/>
      <c r="K27" s="117" t="n"/>
      <c r="L27" s="46" t="n"/>
      <c r="M27" s="164" t="n"/>
      <c r="N27" s="164" t="n"/>
      <c r="O27" s="164" t="n"/>
      <c r="P27" s="133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134" t="n"/>
      <c r="C28" s="135" t="n"/>
      <c r="D28" s="136" t="n"/>
      <c r="E28" s="134" t="n"/>
      <c r="F28" s="135" t="n"/>
      <c r="G28" s="136" t="n"/>
      <c r="H28" s="134" t="n"/>
      <c r="I28" s="135" t="n"/>
      <c r="J28" s="136" t="n"/>
      <c r="K28" s="124" t="n"/>
      <c r="L28" s="54" t="n"/>
      <c r="M28" s="164" t="n"/>
      <c r="N28" s="164" t="n"/>
      <c r="O28" s="164" t="n"/>
      <c r="P28" s="133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118" t="n"/>
      <c r="C29" s="118" t="n"/>
      <c r="D29" s="119" t="n"/>
      <c r="E29" s="118" t="n"/>
      <c r="F29" s="118" t="n"/>
      <c r="G29" s="119" t="n"/>
      <c r="H29" s="118" t="n"/>
      <c r="I29" s="118" t="n"/>
      <c r="J29" s="119" t="n"/>
      <c r="K29" s="119" t="n"/>
      <c r="L29" s="54" t="n"/>
      <c r="M29" s="164" t="n"/>
      <c r="N29" s="164" t="n"/>
      <c r="O29" s="164" t="n"/>
      <c r="P29" s="133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121" t="n"/>
      <c r="C30" s="121" t="n"/>
      <c r="D30" s="64" t="n"/>
      <c r="E30" s="121" t="n"/>
      <c r="F30" s="121" t="n"/>
      <c r="G30" s="64" t="n"/>
      <c r="H30" s="121" t="n"/>
      <c r="I30" s="121" t="n"/>
      <c r="J30" s="64" t="n"/>
      <c r="K30" s="64" t="n"/>
      <c r="L30" s="65" t="n"/>
      <c r="M30" s="66" t="n"/>
      <c r="N30" s="66" t="n"/>
      <c r="O30" s="66" t="n"/>
      <c r="P30" s="138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93" t="n"/>
      <c r="C31" s="95" t="n"/>
      <c r="D31" s="97" t="n"/>
      <c r="E31" s="93" t="n"/>
      <c r="F31" s="95" t="n"/>
      <c r="G31" s="97" t="n"/>
      <c r="H31" s="93" t="n"/>
      <c r="I31" s="95" t="n"/>
      <c r="J31" s="97" t="n"/>
      <c r="K31" s="109" t="n"/>
      <c r="L31" s="39" t="n"/>
      <c r="M31" s="34" t="n"/>
      <c r="N31" s="34" t="n"/>
      <c r="O31" s="34" t="n"/>
      <c r="P31" s="131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128" t="n"/>
      <c r="C32" s="129" t="n"/>
      <c r="D32" s="130" t="n"/>
      <c r="E32" s="128" t="n"/>
      <c r="F32" s="129" t="n"/>
      <c r="G32" s="130" t="n"/>
      <c r="H32" s="128" t="n"/>
      <c r="I32" s="129" t="n"/>
      <c r="J32" s="130" t="n"/>
      <c r="K32" s="117" t="n"/>
      <c r="L32" s="46" t="n"/>
      <c r="M32" s="164" t="n"/>
      <c r="N32" s="164" t="n"/>
      <c r="O32" s="164" t="n"/>
      <c r="P32" s="133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128" t="n"/>
      <c r="C33" s="129" t="n"/>
      <c r="D33" s="130" t="n"/>
      <c r="E33" s="128" t="n"/>
      <c r="F33" s="129" t="n"/>
      <c r="G33" s="130" t="n"/>
      <c r="H33" s="128" t="n"/>
      <c r="I33" s="129" t="n"/>
      <c r="J33" s="130" t="n"/>
      <c r="K33" s="117" t="n"/>
      <c r="L33" s="46" t="n"/>
      <c r="M33" s="164" t="n"/>
      <c r="N33" s="164" t="n"/>
      <c r="O33" s="164" t="n"/>
      <c r="P33" s="133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128" t="n"/>
      <c r="C34" s="129" t="n"/>
      <c r="D34" s="130" t="n"/>
      <c r="E34" s="128" t="n"/>
      <c r="F34" s="129" t="n"/>
      <c r="G34" s="130" t="n"/>
      <c r="H34" s="128" t="n"/>
      <c r="I34" s="129" t="n"/>
      <c r="J34" s="130" t="n"/>
      <c r="K34" s="117" t="n"/>
      <c r="L34" s="46" t="n"/>
      <c r="M34" s="164" t="n"/>
      <c r="N34" s="164" t="n"/>
      <c r="O34" s="164" t="n"/>
      <c r="P34" s="133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134" t="n"/>
      <c r="C35" s="135" t="n"/>
      <c r="D35" s="136" t="n"/>
      <c r="E35" s="134" t="n"/>
      <c r="F35" s="135" t="n"/>
      <c r="G35" s="136" t="n"/>
      <c r="H35" s="134" t="n"/>
      <c r="I35" s="135" t="n"/>
      <c r="J35" s="136" t="n"/>
      <c r="K35" s="124" t="n"/>
      <c r="L35" s="54" t="n"/>
      <c r="M35" s="164" t="n"/>
      <c r="N35" s="164" t="n"/>
      <c r="O35" s="164" t="n"/>
      <c r="P35" s="133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118" t="n"/>
      <c r="C36" s="118" t="n"/>
      <c r="D36" s="119" t="n"/>
      <c r="E36" s="118" t="n"/>
      <c r="F36" s="118" t="n"/>
      <c r="G36" s="119" t="n"/>
      <c r="H36" s="118" t="n"/>
      <c r="I36" s="118" t="n"/>
      <c r="J36" s="119" t="n"/>
      <c r="K36" s="119" t="n"/>
      <c r="L36" s="54" t="n"/>
      <c r="M36" s="164" t="n"/>
      <c r="N36" s="164" t="n"/>
      <c r="O36" s="164" t="n"/>
      <c r="P36" s="133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121" t="n"/>
      <c r="C37" s="121" t="n"/>
      <c r="D37" s="64" t="n"/>
      <c r="E37" s="121" t="n"/>
      <c r="F37" s="121" t="n"/>
      <c r="G37" s="64" t="n"/>
      <c r="H37" s="121" t="n"/>
      <c r="I37" s="121" t="n"/>
      <c r="J37" s="64" t="n"/>
      <c r="K37" s="64" t="n"/>
      <c r="L37" s="65" t="n"/>
      <c r="M37" s="66" t="n"/>
      <c r="N37" s="66" t="n"/>
      <c r="O37" s="66" t="n"/>
      <c r="P37" s="138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93" t="n"/>
      <c r="C38" s="95" t="n"/>
      <c r="D38" s="97" t="n"/>
      <c r="E38" s="93" t="n"/>
      <c r="F38" s="95" t="n"/>
      <c r="G38" s="97" t="n"/>
      <c r="H38" s="93" t="n"/>
      <c r="I38" s="95" t="n"/>
      <c r="J38" s="97" t="n"/>
      <c r="K38" s="109" t="n"/>
      <c r="L38" s="39" t="n"/>
      <c r="M38" s="34" t="n"/>
      <c r="N38" s="34" t="n"/>
      <c r="O38" s="34" t="n"/>
      <c r="P38" s="131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128" t="n"/>
      <c r="C39" s="129" t="n"/>
      <c r="D39" s="130" t="n"/>
      <c r="E39" s="128" t="n"/>
      <c r="F39" s="129" t="n"/>
      <c r="G39" s="130" t="n"/>
      <c r="H39" s="128" t="n"/>
      <c r="I39" s="129" t="n"/>
      <c r="J39" s="130" t="n"/>
      <c r="K39" s="117" t="n"/>
      <c r="L39" s="46" t="n"/>
      <c r="M39" s="164" t="n"/>
      <c r="N39" s="164" t="n"/>
      <c r="O39" s="164" t="n"/>
      <c r="P39" s="133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128" t="n"/>
      <c r="C40" s="129" t="n"/>
      <c r="D40" s="130" t="n"/>
      <c r="E40" s="128" t="n"/>
      <c r="F40" s="129" t="n"/>
      <c r="G40" s="130" t="n"/>
      <c r="H40" s="128" t="n"/>
      <c r="I40" s="129" t="n"/>
      <c r="J40" s="130" t="n"/>
      <c r="K40" s="117" t="n"/>
      <c r="L40" s="46" t="n"/>
      <c r="M40" s="164" t="n"/>
      <c r="N40" s="164" t="n"/>
      <c r="O40" s="164" t="n"/>
      <c r="P40" s="133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128" t="n"/>
      <c r="C41" s="129" t="n"/>
      <c r="D41" s="130" t="n"/>
      <c r="E41" s="128" t="n"/>
      <c r="F41" s="129" t="n"/>
      <c r="G41" s="130" t="n"/>
      <c r="H41" s="128" t="n"/>
      <c r="I41" s="129" t="n"/>
      <c r="J41" s="130" t="n"/>
      <c r="K41" s="117" t="n"/>
      <c r="L41" s="46" t="n"/>
      <c r="M41" s="164" t="n"/>
      <c r="N41" s="164" t="n"/>
      <c r="O41" s="164" t="n"/>
      <c r="P41" s="133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134" t="n"/>
      <c r="C42" s="135" t="n"/>
      <c r="D42" s="136" t="n"/>
      <c r="E42" s="134" t="n"/>
      <c r="F42" s="135" t="n"/>
      <c r="G42" s="136" t="n"/>
      <c r="H42" s="134" t="n"/>
      <c r="I42" s="135" t="n"/>
      <c r="J42" s="136" t="n"/>
      <c r="K42" s="124" t="n"/>
      <c r="L42" s="54" t="n"/>
      <c r="M42" s="164" t="n"/>
      <c r="N42" s="164" t="n"/>
      <c r="O42" s="164" t="n"/>
      <c r="P42" s="133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118" t="n"/>
      <c r="C43" s="118" t="n"/>
      <c r="D43" s="119" t="n"/>
      <c r="E43" s="118" t="n"/>
      <c r="F43" s="118" t="n"/>
      <c r="G43" s="119" t="n"/>
      <c r="H43" s="118" t="n"/>
      <c r="I43" s="118" t="n"/>
      <c r="J43" s="119" t="n"/>
      <c r="K43" s="119" t="n"/>
      <c r="L43" s="54" t="n"/>
      <c r="M43" s="164" t="n"/>
      <c r="N43" s="164" t="n"/>
      <c r="O43" s="164" t="n"/>
      <c r="P43" s="133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121" t="n"/>
      <c r="C44" s="121" t="n"/>
      <c r="D44" s="64" t="n"/>
      <c r="E44" s="121" t="n"/>
      <c r="F44" s="121" t="n"/>
      <c r="G44" s="64" t="n"/>
      <c r="H44" s="121" t="n"/>
      <c r="I44" s="121" t="n"/>
      <c r="J44" s="64" t="n"/>
      <c r="K44" s="64" t="n"/>
      <c r="L44" s="65" t="n"/>
      <c r="M44" s="66" t="n"/>
      <c r="N44" s="66" t="n"/>
      <c r="O44" s="66" t="n"/>
      <c r="P44" s="138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93" t="n"/>
      <c r="C45" s="95" t="n"/>
      <c r="D45" s="97" t="n"/>
      <c r="E45" s="93" t="n"/>
      <c r="F45" s="95" t="n"/>
      <c r="G45" s="97" t="n"/>
      <c r="H45" s="93" t="n"/>
      <c r="I45" s="95" t="n"/>
      <c r="J45" s="97" t="n"/>
      <c r="K45" s="109" t="n"/>
      <c r="L45" s="39" t="n"/>
      <c r="M45" s="34" t="n"/>
      <c r="N45" s="34" t="n"/>
      <c r="O45" s="34" t="n"/>
      <c r="P45" s="131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128" t="n"/>
      <c r="C46" s="129" t="n"/>
      <c r="D46" s="130" t="n"/>
      <c r="E46" s="128" t="n"/>
      <c r="F46" s="129" t="n"/>
      <c r="G46" s="130" t="n"/>
      <c r="H46" s="128" t="n"/>
      <c r="I46" s="129" t="n"/>
      <c r="J46" s="130" t="n"/>
      <c r="K46" s="117" t="n"/>
      <c r="L46" s="46" t="n"/>
      <c r="M46" s="164" t="n"/>
      <c r="N46" s="164" t="n"/>
      <c r="O46" s="164" t="n"/>
      <c r="P46" s="133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128" t="n"/>
      <c r="C47" s="129" t="n"/>
      <c r="D47" s="130" t="n"/>
      <c r="E47" s="128" t="n"/>
      <c r="F47" s="129" t="n"/>
      <c r="G47" s="130" t="n"/>
      <c r="H47" s="128" t="n"/>
      <c r="I47" s="129" t="n"/>
      <c r="J47" s="130" t="n"/>
      <c r="K47" s="117" t="n"/>
      <c r="L47" s="46" t="n"/>
      <c r="M47" s="164" t="n"/>
      <c r="N47" s="164" t="n"/>
      <c r="O47" s="164" t="n"/>
      <c r="P47" s="133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128" t="n"/>
      <c r="C48" s="129" t="n"/>
      <c r="D48" s="130" t="n"/>
      <c r="E48" s="128" t="n"/>
      <c r="F48" s="129" t="n"/>
      <c r="G48" s="130" t="n"/>
      <c r="H48" s="128" t="n"/>
      <c r="I48" s="129" t="n"/>
      <c r="J48" s="130" t="n"/>
      <c r="K48" s="117" t="n"/>
      <c r="L48" s="46" t="n"/>
      <c r="M48" s="164" t="n"/>
      <c r="N48" s="164" t="n"/>
      <c r="O48" s="164" t="n"/>
      <c r="P48" s="133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134" t="n"/>
      <c r="C49" s="135" t="n"/>
      <c r="D49" s="136" t="n"/>
      <c r="E49" s="134" t="n"/>
      <c r="F49" s="135" t="n"/>
      <c r="G49" s="136" t="n"/>
      <c r="H49" s="134" t="n"/>
      <c r="I49" s="135" t="n"/>
      <c r="J49" s="136" t="n"/>
      <c r="K49" s="124" t="n"/>
      <c r="L49" s="54" t="n"/>
      <c r="M49" s="164" t="n"/>
      <c r="N49" s="164" t="n"/>
      <c r="O49" s="164" t="n"/>
      <c r="P49" s="133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118" t="n"/>
      <c r="C50" s="118" t="n"/>
      <c r="D50" s="119" t="n"/>
      <c r="E50" s="118" t="n"/>
      <c r="F50" s="118" t="n"/>
      <c r="G50" s="119" t="n"/>
      <c r="H50" s="118" t="n"/>
      <c r="I50" s="118" t="n"/>
      <c r="J50" s="119" t="n"/>
      <c r="K50" s="119" t="n"/>
      <c r="L50" s="54" t="n"/>
      <c r="M50" s="164" t="n"/>
      <c r="N50" s="164" t="n"/>
      <c r="O50" s="164" t="n"/>
      <c r="P50" s="133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121" t="n"/>
      <c r="C51" s="121" t="n"/>
      <c r="D51" s="64" t="n"/>
      <c r="E51" s="121" t="n"/>
      <c r="F51" s="121" t="n"/>
      <c r="G51" s="64" t="n"/>
      <c r="H51" s="121" t="n"/>
      <c r="I51" s="121" t="n"/>
      <c r="J51" s="64" t="n"/>
      <c r="K51" s="64" t="n"/>
      <c r="L51" s="65" t="n"/>
      <c r="M51" s="66" t="n"/>
      <c r="N51" s="66" t="n"/>
      <c r="O51" s="66" t="n"/>
      <c r="P51" s="138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93" t="n"/>
      <c r="C52" s="95" t="n"/>
      <c r="D52" s="97" t="n"/>
      <c r="E52" s="93" t="n"/>
      <c r="F52" s="95" t="n"/>
      <c r="G52" s="97" t="n"/>
      <c r="H52" s="93" t="n"/>
      <c r="I52" s="95" t="n"/>
      <c r="J52" s="97" t="n"/>
      <c r="K52" s="109" t="n"/>
      <c r="L52" s="39" t="n"/>
      <c r="M52" s="34" t="n"/>
      <c r="N52" s="34" t="n"/>
      <c r="O52" s="34" t="n"/>
      <c r="P52" s="131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128" t="n"/>
      <c r="C53" s="129" t="n"/>
      <c r="D53" s="130" t="n"/>
      <c r="E53" s="128" t="n"/>
      <c r="F53" s="129" t="n"/>
      <c r="G53" s="130" t="n"/>
      <c r="H53" s="128" t="n"/>
      <c r="I53" s="129" t="n"/>
      <c r="J53" s="130" t="n"/>
      <c r="K53" s="117" t="n"/>
      <c r="L53" s="46" t="n"/>
      <c r="M53" s="164" t="n"/>
      <c r="N53" s="164" t="n"/>
      <c r="O53" s="164" t="n"/>
      <c r="P53" s="133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128" t="n"/>
      <c r="C54" s="129" t="n"/>
      <c r="D54" s="130" t="n"/>
      <c r="E54" s="128" t="n"/>
      <c r="F54" s="129" t="n"/>
      <c r="G54" s="130" t="n"/>
      <c r="H54" s="128" t="n"/>
      <c r="I54" s="129" t="n"/>
      <c r="J54" s="130" t="n"/>
      <c r="K54" s="117" t="n"/>
      <c r="L54" s="46" t="n"/>
      <c r="M54" s="164" t="n"/>
      <c r="N54" s="164" t="n"/>
      <c r="O54" s="164" t="n"/>
      <c r="P54" s="133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128" t="n"/>
      <c r="C55" s="129" t="n"/>
      <c r="D55" s="130" t="n"/>
      <c r="E55" s="128" t="n"/>
      <c r="F55" s="129" t="n"/>
      <c r="G55" s="130" t="n"/>
      <c r="H55" s="128" t="n"/>
      <c r="I55" s="129" t="n"/>
      <c r="J55" s="130" t="n"/>
      <c r="K55" s="117" t="n"/>
      <c r="L55" s="46" t="n"/>
      <c r="M55" s="164" t="n"/>
      <c r="N55" s="164" t="n"/>
      <c r="O55" s="164" t="n"/>
      <c r="P55" s="133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134" t="n"/>
      <c r="C56" s="135" t="n"/>
      <c r="D56" s="136" t="n"/>
      <c r="E56" s="134" t="n"/>
      <c r="F56" s="135" t="n"/>
      <c r="G56" s="136" t="n"/>
      <c r="H56" s="134" t="n"/>
      <c r="I56" s="135" t="n"/>
      <c r="J56" s="136" t="n"/>
      <c r="K56" s="124" t="n"/>
      <c r="L56" s="54" t="n"/>
      <c r="M56" s="164" t="n"/>
      <c r="N56" s="164" t="n"/>
      <c r="O56" s="164" t="n"/>
      <c r="P56" s="133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118" t="n"/>
      <c r="C57" s="118" t="n"/>
      <c r="D57" s="119" t="n"/>
      <c r="E57" s="118" t="n"/>
      <c r="F57" s="118" t="n"/>
      <c r="G57" s="119" t="n"/>
      <c r="H57" s="118" t="n"/>
      <c r="I57" s="118" t="n"/>
      <c r="J57" s="119" t="n"/>
      <c r="K57" s="119" t="n"/>
      <c r="L57" s="54" t="n"/>
      <c r="M57" s="164" t="n"/>
      <c r="N57" s="164" t="n"/>
      <c r="O57" s="164" t="n"/>
      <c r="P57" s="133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121" t="n"/>
      <c r="C58" s="121" t="n"/>
      <c r="D58" s="64" t="n"/>
      <c r="E58" s="121" t="n"/>
      <c r="F58" s="121" t="n"/>
      <c r="G58" s="64" t="n"/>
      <c r="H58" s="121" t="n"/>
      <c r="I58" s="121" t="n"/>
      <c r="J58" s="64" t="n"/>
      <c r="K58" s="64" t="n"/>
      <c r="L58" s="65" t="n"/>
      <c r="M58" s="66" t="n"/>
      <c r="N58" s="66" t="n"/>
      <c r="O58" s="66" t="n"/>
      <c r="P58" s="138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93" t="n"/>
      <c r="C59" s="95" t="n"/>
      <c r="D59" s="97" t="n"/>
      <c r="E59" s="93" t="n"/>
      <c r="F59" s="95" t="n"/>
      <c r="G59" s="97" t="n"/>
      <c r="H59" s="93" t="n"/>
      <c r="I59" s="95" t="n"/>
      <c r="J59" s="97" t="n"/>
      <c r="K59" s="109" t="n"/>
      <c r="L59" s="39" t="n"/>
      <c r="M59" s="34" t="n"/>
      <c r="N59" s="34" t="n"/>
      <c r="O59" s="34" t="n"/>
      <c r="P59" s="131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128" t="n"/>
      <c r="C60" s="129" t="n"/>
      <c r="D60" s="130" t="n"/>
      <c r="E60" s="128" t="n"/>
      <c r="F60" s="129" t="n"/>
      <c r="G60" s="130" t="n"/>
      <c r="H60" s="128" t="n"/>
      <c r="I60" s="129" t="n"/>
      <c r="J60" s="130" t="n"/>
      <c r="K60" s="117" t="n"/>
      <c r="L60" s="46" t="n"/>
      <c r="M60" s="164" t="n"/>
      <c r="N60" s="164" t="n"/>
      <c r="O60" s="164" t="n"/>
      <c r="P60" s="133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128" t="n"/>
      <c r="C61" s="129" t="n"/>
      <c r="D61" s="130" t="n"/>
      <c r="E61" s="128" t="n"/>
      <c r="F61" s="129" t="n"/>
      <c r="G61" s="130" t="n"/>
      <c r="H61" s="128" t="n"/>
      <c r="I61" s="129" t="n"/>
      <c r="J61" s="130" t="n"/>
      <c r="K61" s="117" t="n"/>
      <c r="L61" s="46" t="n"/>
      <c r="M61" s="164" t="n"/>
      <c r="N61" s="164" t="n"/>
      <c r="O61" s="164" t="n"/>
      <c r="P61" s="133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128" t="n"/>
      <c r="C62" s="129" t="n"/>
      <c r="D62" s="130" t="n"/>
      <c r="E62" s="128" t="n"/>
      <c r="F62" s="129" t="n"/>
      <c r="G62" s="130" t="n"/>
      <c r="H62" s="128" t="n"/>
      <c r="I62" s="129" t="n"/>
      <c r="J62" s="130" t="n"/>
      <c r="K62" s="117" t="n"/>
      <c r="L62" s="46" t="n"/>
      <c r="M62" s="164" t="n"/>
      <c r="N62" s="164" t="n"/>
      <c r="O62" s="164" t="n"/>
      <c r="P62" s="133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134" t="n"/>
      <c r="C63" s="135" t="n"/>
      <c r="D63" s="136" t="n"/>
      <c r="E63" s="134" t="n"/>
      <c r="F63" s="135" t="n"/>
      <c r="G63" s="136" t="n"/>
      <c r="H63" s="134" t="n"/>
      <c r="I63" s="135" t="n"/>
      <c r="J63" s="136" t="n"/>
      <c r="K63" s="124" t="n"/>
      <c r="L63" s="54" t="n"/>
      <c r="M63" s="164" t="n"/>
      <c r="N63" s="164" t="n"/>
      <c r="O63" s="164" t="n"/>
      <c r="P63" s="133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118" t="n"/>
      <c r="C64" s="118" t="n"/>
      <c r="D64" s="119" t="n"/>
      <c r="E64" s="118" t="n"/>
      <c r="F64" s="118" t="n"/>
      <c r="G64" s="119" t="n"/>
      <c r="H64" s="118" t="n"/>
      <c r="I64" s="118" t="n"/>
      <c r="J64" s="119" t="n"/>
      <c r="K64" s="119" t="n"/>
      <c r="L64" s="54" t="n"/>
      <c r="M64" s="164" t="n"/>
      <c r="N64" s="164" t="n"/>
      <c r="O64" s="164" t="n"/>
      <c r="P64" s="133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121" t="n"/>
      <c r="C65" s="121" t="n"/>
      <c r="D65" s="64" t="n"/>
      <c r="E65" s="121" t="n"/>
      <c r="F65" s="121" t="n"/>
      <c r="G65" s="64" t="n"/>
      <c r="H65" s="121" t="n"/>
      <c r="I65" s="121" t="n"/>
      <c r="J65" s="64" t="n"/>
      <c r="K65" s="64" t="n"/>
      <c r="L65" s="65" t="n"/>
      <c r="M65" s="66" t="n"/>
      <c r="N65" s="66" t="n"/>
      <c r="O65" s="66" t="n"/>
      <c r="P65" s="138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93" t="n"/>
      <c r="C66" s="95" t="n"/>
      <c r="D66" s="97" t="n"/>
      <c r="E66" s="93" t="n"/>
      <c r="F66" s="95" t="n"/>
      <c r="G66" s="97" t="n"/>
      <c r="H66" s="93" t="n"/>
      <c r="I66" s="95" t="n"/>
      <c r="J66" s="97" t="n"/>
      <c r="K66" s="109" t="n"/>
      <c r="L66" s="39" t="n"/>
      <c r="M66" s="34" t="n"/>
      <c r="N66" s="34" t="n"/>
      <c r="O66" s="34" t="n"/>
      <c r="P66" s="131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128" t="n"/>
      <c r="C67" s="129" t="n"/>
      <c r="D67" s="130" t="n"/>
      <c r="E67" s="128" t="n"/>
      <c r="F67" s="129" t="n"/>
      <c r="G67" s="130" t="n"/>
      <c r="H67" s="128" t="n"/>
      <c r="I67" s="129" t="n"/>
      <c r="J67" s="130" t="n"/>
      <c r="K67" s="117" t="n"/>
      <c r="L67" s="46" t="n"/>
      <c r="M67" s="164" t="n"/>
      <c r="N67" s="164" t="n"/>
      <c r="O67" s="164" t="n"/>
      <c r="P67" s="133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128" t="n"/>
      <c r="C68" s="129" t="n"/>
      <c r="D68" s="130" t="n"/>
      <c r="E68" s="128" t="n"/>
      <c r="F68" s="129" t="n"/>
      <c r="G68" s="130" t="n"/>
      <c r="H68" s="128" t="n"/>
      <c r="I68" s="129" t="n"/>
      <c r="J68" s="130" t="n"/>
      <c r="K68" s="117" t="n"/>
      <c r="L68" s="46" t="n"/>
      <c r="M68" s="164" t="n"/>
      <c r="N68" s="164" t="n"/>
      <c r="O68" s="164" t="n"/>
      <c r="P68" s="133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128" t="n"/>
      <c r="C69" s="129" t="n"/>
      <c r="D69" s="130" t="n"/>
      <c r="E69" s="128" t="n"/>
      <c r="F69" s="129" t="n"/>
      <c r="G69" s="130" t="n"/>
      <c r="H69" s="128" t="n"/>
      <c r="I69" s="129" t="n"/>
      <c r="J69" s="130" t="n"/>
      <c r="K69" s="117" t="n"/>
      <c r="L69" s="46" t="n"/>
      <c r="M69" s="164" t="n"/>
      <c r="N69" s="164" t="n"/>
      <c r="O69" s="164" t="n"/>
      <c r="P69" s="133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134" t="n"/>
      <c r="C70" s="135" t="n"/>
      <c r="D70" s="136" t="n"/>
      <c r="E70" s="134" t="n"/>
      <c r="F70" s="135" t="n"/>
      <c r="G70" s="136" t="n"/>
      <c r="H70" s="134" t="n"/>
      <c r="I70" s="135" t="n"/>
      <c r="J70" s="136" t="n"/>
      <c r="K70" s="124" t="n"/>
      <c r="L70" s="54" t="n"/>
      <c r="M70" s="164" t="n"/>
      <c r="N70" s="164" t="n"/>
      <c r="O70" s="164" t="n"/>
      <c r="P70" s="133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118" t="n"/>
      <c r="C71" s="118" t="n"/>
      <c r="D71" s="119" t="n"/>
      <c r="E71" s="118" t="n"/>
      <c r="F71" s="118" t="n"/>
      <c r="G71" s="119" t="n"/>
      <c r="H71" s="118" t="n"/>
      <c r="I71" s="118" t="n"/>
      <c r="J71" s="119" t="n"/>
      <c r="K71" s="119" t="n"/>
      <c r="L71" s="54" t="n"/>
      <c r="M71" s="164" t="n"/>
      <c r="N71" s="164" t="n"/>
      <c r="O71" s="164" t="n"/>
      <c r="P71" s="133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121" t="n"/>
      <c r="C72" s="121" t="n"/>
      <c r="D72" s="64" t="n"/>
      <c r="E72" s="121" t="n"/>
      <c r="F72" s="121" t="n"/>
      <c r="G72" s="64" t="n"/>
      <c r="H72" s="121" t="n"/>
      <c r="I72" s="121" t="n"/>
      <c r="J72" s="64" t="n"/>
      <c r="K72" s="64" t="n"/>
      <c r="L72" s="65" t="n"/>
      <c r="M72" s="66" t="n"/>
      <c r="N72" s="66" t="n"/>
      <c r="O72" s="66" t="n"/>
      <c r="P72" s="138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93" t="n"/>
      <c r="C73" s="95" t="n"/>
      <c r="D73" s="97" t="n"/>
      <c r="E73" s="93" t="n"/>
      <c r="F73" s="95" t="n"/>
      <c r="G73" s="97" t="n"/>
      <c r="H73" s="93" t="n"/>
      <c r="I73" s="95" t="n"/>
      <c r="J73" s="97" t="n"/>
      <c r="K73" s="109" t="n"/>
      <c r="L73" s="39" t="n"/>
      <c r="M73" s="34" t="n"/>
      <c r="N73" s="34" t="n"/>
      <c r="O73" s="34" t="n"/>
      <c r="P73" s="131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128" t="n"/>
      <c r="C74" s="129" t="n"/>
      <c r="D74" s="130" t="n"/>
      <c r="E74" s="128" t="n"/>
      <c r="F74" s="129" t="n"/>
      <c r="G74" s="130" t="n"/>
      <c r="H74" s="128" t="n"/>
      <c r="I74" s="129" t="n"/>
      <c r="J74" s="130" t="n"/>
      <c r="K74" s="117" t="n"/>
      <c r="L74" s="46" t="n"/>
      <c r="M74" s="164" t="n"/>
      <c r="N74" s="164" t="n"/>
      <c r="O74" s="164" t="n"/>
      <c r="P74" s="133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128" t="n"/>
      <c r="C75" s="129" t="n"/>
      <c r="D75" s="130" t="n"/>
      <c r="E75" s="128" t="n"/>
      <c r="F75" s="129" t="n"/>
      <c r="G75" s="130" t="n"/>
      <c r="H75" s="128" t="n"/>
      <c r="I75" s="129" t="n"/>
      <c r="J75" s="130" t="n"/>
      <c r="K75" s="117" t="n"/>
      <c r="L75" s="46" t="n"/>
      <c r="M75" s="164" t="n"/>
      <c r="N75" s="164" t="n"/>
      <c r="O75" s="164" t="n"/>
      <c r="P75" s="133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128" t="n"/>
      <c r="C76" s="129" t="n"/>
      <c r="D76" s="130" t="n"/>
      <c r="E76" s="128" t="n"/>
      <c r="F76" s="129" t="n"/>
      <c r="G76" s="130" t="n"/>
      <c r="H76" s="128" t="n"/>
      <c r="I76" s="129" t="n"/>
      <c r="J76" s="130" t="n"/>
      <c r="K76" s="117" t="n"/>
      <c r="L76" s="46" t="n"/>
      <c r="M76" s="164" t="n"/>
      <c r="N76" s="164" t="n"/>
      <c r="O76" s="164" t="n"/>
      <c r="P76" s="133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134" t="n"/>
      <c r="C77" s="135" t="n"/>
      <c r="D77" s="136" t="n"/>
      <c r="E77" s="134" t="n"/>
      <c r="F77" s="135" t="n"/>
      <c r="G77" s="136" t="n"/>
      <c r="H77" s="134" t="n"/>
      <c r="I77" s="135" t="n"/>
      <c r="J77" s="136" t="n"/>
      <c r="K77" s="124" t="n"/>
      <c r="L77" s="54" t="n"/>
      <c r="M77" s="164" t="n"/>
      <c r="N77" s="164" t="n"/>
      <c r="O77" s="164" t="n"/>
      <c r="P77" s="133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118" t="n"/>
      <c r="C78" s="118" t="n"/>
      <c r="D78" s="119" t="n"/>
      <c r="E78" s="118" t="n"/>
      <c r="F78" s="118" t="n"/>
      <c r="G78" s="119" t="n"/>
      <c r="H78" s="118" t="n"/>
      <c r="I78" s="118" t="n"/>
      <c r="J78" s="119" t="n"/>
      <c r="K78" s="119" t="n"/>
      <c r="L78" s="54" t="n"/>
      <c r="M78" s="164" t="n"/>
      <c r="N78" s="164" t="n"/>
      <c r="O78" s="164" t="n"/>
      <c r="P78" s="133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121" t="n"/>
      <c r="C79" s="121" t="n"/>
      <c r="D79" s="64" t="n"/>
      <c r="E79" s="121" t="n"/>
      <c r="F79" s="121" t="n"/>
      <c r="G79" s="64" t="n"/>
      <c r="H79" s="121" t="n"/>
      <c r="I79" s="121" t="n"/>
      <c r="J79" s="64" t="n"/>
      <c r="K79" s="64" t="n"/>
      <c r="L79" s="65" t="n"/>
      <c r="M79" s="66" t="n"/>
      <c r="N79" s="66" t="n"/>
      <c r="O79" s="66" t="n"/>
      <c r="P79" s="138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93" t="n"/>
      <c r="C80" s="95" t="n"/>
      <c r="D80" s="97" t="n"/>
      <c r="E80" s="93" t="n"/>
      <c r="F80" s="95" t="n"/>
      <c r="G80" s="97" t="n"/>
      <c r="H80" s="93" t="n"/>
      <c r="I80" s="95" t="n"/>
      <c r="J80" s="97" t="n"/>
      <c r="K80" s="109" t="n"/>
      <c r="L80" s="39" t="n"/>
      <c r="M80" s="34" t="n"/>
      <c r="N80" s="34" t="n"/>
      <c r="O80" s="34" t="n"/>
      <c r="P80" s="131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128" t="n"/>
      <c r="C81" s="129" t="n"/>
      <c r="D81" s="130" t="n"/>
      <c r="E81" s="128" t="n"/>
      <c r="F81" s="129" t="n"/>
      <c r="G81" s="130" t="n"/>
      <c r="H81" s="128" t="n"/>
      <c r="I81" s="129" t="n"/>
      <c r="J81" s="130" t="n"/>
      <c r="K81" s="117" t="n"/>
      <c r="L81" s="46" t="n"/>
      <c r="M81" s="164" t="n"/>
      <c r="N81" s="164" t="n"/>
      <c r="O81" s="164" t="n"/>
      <c r="P81" s="133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128" t="n"/>
      <c r="C82" s="129" t="n"/>
      <c r="D82" s="130" t="n"/>
      <c r="E82" s="128" t="n"/>
      <c r="F82" s="129" t="n"/>
      <c r="G82" s="130" t="n"/>
      <c r="H82" s="128" t="n"/>
      <c r="I82" s="129" t="n"/>
      <c r="J82" s="130" t="n"/>
      <c r="K82" s="117" t="n"/>
      <c r="L82" s="46" t="n"/>
      <c r="M82" s="164" t="n"/>
      <c r="N82" s="164" t="n"/>
      <c r="O82" s="164" t="n"/>
      <c r="P82" s="133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128" t="n"/>
      <c r="C83" s="129" t="n"/>
      <c r="D83" s="130" t="n"/>
      <c r="E83" s="128" t="n"/>
      <c r="F83" s="129" t="n"/>
      <c r="G83" s="130" t="n"/>
      <c r="H83" s="128" t="n"/>
      <c r="I83" s="129" t="n"/>
      <c r="J83" s="130" t="n"/>
      <c r="K83" s="117" t="n"/>
      <c r="L83" s="46" t="n"/>
      <c r="M83" s="164" t="n"/>
      <c r="N83" s="164" t="n"/>
      <c r="O83" s="164" t="n"/>
      <c r="P83" s="133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134" t="n"/>
      <c r="C84" s="135" t="n"/>
      <c r="D84" s="136" t="n"/>
      <c r="E84" s="134" t="n"/>
      <c r="F84" s="135" t="n"/>
      <c r="G84" s="136" t="n"/>
      <c r="H84" s="134" t="n"/>
      <c r="I84" s="135" t="n"/>
      <c r="J84" s="136" t="n"/>
      <c r="K84" s="124" t="n"/>
      <c r="L84" s="54" t="n"/>
      <c r="M84" s="164" t="n"/>
      <c r="N84" s="164" t="n"/>
      <c r="O84" s="164" t="n"/>
      <c r="P84" s="133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118" t="n"/>
      <c r="C85" s="118" t="n"/>
      <c r="D85" s="119" t="n"/>
      <c r="E85" s="118" t="n"/>
      <c r="F85" s="118" t="n"/>
      <c r="G85" s="119" t="n"/>
      <c r="H85" s="118" t="n"/>
      <c r="I85" s="118" t="n"/>
      <c r="J85" s="119" t="n"/>
      <c r="K85" s="119" t="n"/>
      <c r="L85" s="54" t="n"/>
      <c r="M85" s="164" t="n"/>
      <c r="N85" s="164" t="n"/>
      <c r="O85" s="164" t="n"/>
      <c r="P85" s="133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121" t="n"/>
      <c r="C86" s="121" t="n"/>
      <c r="D86" s="64" t="n"/>
      <c r="E86" s="121" t="n"/>
      <c r="F86" s="121" t="n"/>
      <c r="G86" s="64" t="n"/>
      <c r="H86" s="121" t="n"/>
      <c r="I86" s="121" t="n"/>
      <c r="J86" s="64" t="n"/>
      <c r="K86" s="64" t="n"/>
      <c r="L86" s="65" t="n"/>
      <c r="M86" s="66" t="n"/>
      <c r="N86" s="66" t="n"/>
      <c r="O86" s="66" t="n"/>
      <c r="P86" s="138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93" t="n"/>
      <c r="C87" s="95" t="n"/>
      <c r="D87" s="97" t="n"/>
      <c r="E87" s="93" t="n"/>
      <c r="F87" s="95" t="n"/>
      <c r="G87" s="97" t="n"/>
      <c r="H87" s="93" t="n"/>
      <c r="I87" s="95" t="n"/>
      <c r="J87" s="97" t="n"/>
      <c r="K87" s="109" t="n"/>
      <c r="L87" s="39" t="n"/>
      <c r="M87" s="34" t="n"/>
      <c r="N87" s="34" t="n"/>
      <c r="O87" s="34" t="n"/>
      <c r="P87" s="131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128" t="n"/>
      <c r="C88" s="129" t="n"/>
      <c r="D88" s="130" t="n"/>
      <c r="E88" s="128" t="n"/>
      <c r="F88" s="129" t="n"/>
      <c r="G88" s="130" t="n"/>
      <c r="H88" s="128" t="n"/>
      <c r="I88" s="129" t="n"/>
      <c r="J88" s="130" t="n"/>
      <c r="K88" s="117" t="n"/>
      <c r="L88" s="46" t="n"/>
      <c r="M88" s="164" t="n"/>
      <c r="N88" s="164" t="n"/>
      <c r="O88" s="164" t="n"/>
      <c r="P88" s="133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128" t="n"/>
      <c r="C89" s="129" t="n"/>
      <c r="D89" s="130" t="n"/>
      <c r="E89" s="128" t="n"/>
      <c r="F89" s="129" t="n"/>
      <c r="G89" s="130" t="n"/>
      <c r="H89" s="128" t="n"/>
      <c r="I89" s="129" t="n"/>
      <c r="J89" s="130" t="n"/>
      <c r="K89" s="117" t="n"/>
      <c r="L89" s="46" t="n"/>
      <c r="M89" s="164" t="n"/>
      <c r="N89" s="164" t="n"/>
      <c r="O89" s="164" t="n"/>
      <c r="P89" s="133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128" t="n"/>
      <c r="C90" s="129" t="n"/>
      <c r="D90" s="130" t="n"/>
      <c r="E90" s="128" t="n"/>
      <c r="F90" s="129" t="n"/>
      <c r="G90" s="130" t="n"/>
      <c r="H90" s="128" t="n"/>
      <c r="I90" s="129" t="n"/>
      <c r="J90" s="130" t="n"/>
      <c r="K90" s="117" t="n"/>
      <c r="L90" s="46" t="n"/>
      <c r="M90" s="164" t="n"/>
      <c r="N90" s="164" t="n"/>
      <c r="O90" s="164" t="n"/>
      <c r="P90" s="133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134" t="n"/>
      <c r="C91" s="135" t="n"/>
      <c r="D91" s="136" t="n"/>
      <c r="E91" s="134" t="n"/>
      <c r="F91" s="135" t="n"/>
      <c r="G91" s="136" t="n"/>
      <c r="H91" s="134" t="n"/>
      <c r="I91" s="135" t="n"/>
      <c r="J91" s="136" t="n"/>
      <c r="K91" s="124" t="n"/>
      <c r="L91" s="54" t="n"/>
      <c r="M91" s="164" t="n"/>
      <c r="N91" s="164" t="n"/>
      <c r="O91" s="164" t="n"/>
      <c r="P91" s="133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118" t="n"/>
      <c r="C92" s="118" t="n"/>
      <c r="D92" s="119" t="n"/>
      <c r="E92" s="118" t="n"/>
      <c r="F92" s="118" t="n"/>
      <c r="G92" s="119" t="n"/>
      <c r="H92" s="118" t="n"/>
      <c r="I92" s="118" t="n"/>
      <c r="J92" s="119" t="n"/>
      <c r="K92" s="119" t="n"/>
      <c r="L92" s="54" t="n"/>
      <c r="M92" s="164" t="n"/>
      <c r="N92" s="164" t="n"/>
      <c r="O92" s="164" t="n"/>
      <c r="P92" s="133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121" t="n"/>
      <c r="C93" s="121" t="n"/>
      <c r="D93" s="64" t="n"/>
      <c r="E93" s="121" t="n"/>
      <c r="F93" s="121" t="n"/>
      <c r="G93" s="64" t="n"/>
      <c r="H93" s="121" t="n"/>
      <c r="I93" s="121" t="n"/>
      <c r="J93" s="64" t="n"/>
      <c r="K93" s="64" t="n"/>
      <c r="L93" s="65" t="n"/>
      <c r="M93" s="66" t="n"/>
      <c r="N93" s="66" t="n"/>
      <c r="O93" s="66" t="n"/>
      <c r="P93" s="138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93" t="n"/>
      <c r="C94" s="95" t="n"/>
      <c r="D94" s="97" t="n"/>
      <c r="E94" s="93" t="n"/>
      <c r="F94" s="95" t="n"/>
      <c r="G94" s="97" t="n"/>
      <c r="H94" s="93" t="n"/>
      <c r="I94" s="95" t="n"/>
      <c r="J94" s="97" t="n"/>
      <c r="K94" s="109" t="n"/>
      <c r="L94" s="39" t="n"/>
      <c r="M94" s="34" t="n"/>
      <c r="N94" s="34" t="n"/>
      <c r="O94" s="34" t="n"/>
      <c r="P94" s="131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128" t="n"/>
      <c r="C95" s="129" t="n"/>
      <c r="D95" s="130" t="n"/>
      <c r="E95" s="128" t="n"/>
      <c r="F95" s="129" t="n"/>
      <c r="G95" s="130" t="n"/>
      <c r="H95" s="128" t="n"/>
      <c r="I95" s="129" t="n"/>
      <c r="J95" s="130" t="n"/>
      <c r="K95" s="117" t="n"/>
      <c r="L95" s="46" t="n"/>
      <c r="M95" s="164" t="n"/>
      <c r="N95" s="164" t="n"/>
      <c r="O95" s="164" t="n"/>
      <c r="P95" s="133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128" t="n"/>
      <c r="C96" s="129" t="n"/>
      <c r="D96" s="130" t="n"/>
      <c r="E96" s="128" t="n"/>
      <c r="F96" s="129" t="n"/>
      <c r="G96" s="130" t="n"/>
      <c r="H96" s="128" t="n"/>
      <c r="I96" s="129" t="n"/>
      <c r="J96" s="130" t="n"/>
      <c r="K96" s="117" t="n"/>
      <c r="L96" s="46" t="n"/>
      <c r="M96" s="164" t="n"/>
      <c r="N96" s="164" t="n"/>
      <c r="O96" s="164" t="n"/>
      <c r="P96" s="133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128" t="n"/>
      <c r="C97" s="129" t="n"/>
      <c r="D97" s="130" t="n"/>
      <c r="E97" s="128" t="n"/>
      <c r="F97" s="129" t="n"/>
      <c r="G97" s="130" t="n"/>
      <c r="H97" s="128" t="n"/>
      <c r="I97" s="129" t="n"/>
      <c r="J97" s="130" t="n"/>
      <c r="K97" s="117" t="n"/>
      <c r="L97" s="46" t="n"/>
      <c r="M97" s="164" t="n"/>
      <c r="N97" s="164" t="n"/>
      <c r="O97" s="164" t="n"/>
      <c r="P97" s="133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134" t="n"/>
      <c r="C98" s="135" t="n"/>
      <c r="D98" s="136" t="n"/>
      <c r="E98" s="134" t="n"/>
      <c r="F98" s="135" t="n"/>
      <c r="G98" s="136" t="n"/>
      <c r="H98" s="134" t="n"/>
      <c r="I98" s="135" t="n"/>
      <c r="J98" s="136" t="n"/>
      <c r="K98" s="124" t="n"/>
      <c r="L98" s="54" t="n"/>
      <c r="M98" s="164" t="n"/>
      <c r="N98" s="164" t="n"/>
      <c r="O98" s="164" t="n"/>
      <c r="P98" s="133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118" t="n"/>
      <c r="C99" s="118" t="n"/>
      <c r="D99" s="119" t="n"/>
      <c r="E99" s="118" t="n"/>
      <c r="F99" s="118" t="n"/>
      <c r="G99" s="119" t="n"/>
      <c r="H99" s="118" t="n"/>
      <c r="I99" s="118" t="n"/>
      <c r="J99" s="119" t="n"/>
      <c r="K99" s="119" t="n"/>
      <c r="L99" s="54" t="n"/>
      <c r="M99" s="164" t="n"/>
      <c r="N99" s="164" t="n"/>
      <c r="O99" s="164" t="n"/>
      <c r="P99" s="133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121" t="n"/>
      <c r="C100" s="121" t="n"/>
      <c r="D100" s="64" t="n"/>
      <c r="E100" s="121" t="n"/>
      <c r="F100" s="121" t="n"/>
      <c r="G100" s="64" t="n"/>
      <c r="H100" s="121" t="n"/>
      <c r="I100" s="121" t="n"/>
      <c r="J100" s="64" t="n"/>
      <c r="K100" s="64" t="n"/>
      <c r="L100" s="65" t="n"/>
      <c r="M100" s="66" t="n"/>
      <c r="N100" s="66" t="n"/>
      <c r="O100" s="66" t="n"/>
      <c r="P100" s="138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93" t="n"/>
      <c r="C101" s="95" t="n"/>
      <c r="D101" s="97" t="n"/>
      <c r="E101" s="93" t="n"/>
      <c r="F101" s="95" t="n"/>
      <c r="G101" s="97" t="n"/>
      <c r="H101" s="93" t="n"/>
      <c r="I101" s="95" t="n"/>
      <c r="J101" s="97" t="n"/>
      <c r="K101" s="109" t="n"/>
      <c r="L101" s="39" t="n"/>
      <c r="M101" s="34" t="n"/>
      <c r="N101" s="34" t="n"/>
      <c r="O101" s="34" t="n"/>
      <c r="P101" s="131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128" t="n"/>
      <c r="C102" s="129" t="n"/>
      <c r="D102" s="130" t="n"/>
      <c r="E102" s="128" t="n"/>
      <c r="F102" s="129" t="n"/>
      <c r="G102" s="130" t="n"/>
      <c r="H102" s="128" t="n"/>
      <c r="I102" s="129" t="n"/>
      <c r="J102" s="130" t="n"/>
      <c r="K102" s="117" t="n"/>
      <c r="L102" s="46" t="n"/>
      <c r="M102" s="164" t="n"/>
      <c r="N102" s="164" t="n"/>
      <c r="O102" s="164" t="n"/>
      <c r="P102" s="133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128" t="n"/>
      <c r="C103" s="129" t="n"/>
      <c r="D103" s="130" t="n"/>
      <c r="E103" s="128" t="n"/>
      <c r="F103" s="129" t="n"/>
      <c r="G103" s="130" t="n"/>
      <c r="H103" s="128" t="n"/>
      <c r="I103" s="129" t="n"/>
      <c r="J103" s="130" t="n"/>
      <c r="K103" s="117" t="n"/>
      <c r="L103" s="46" t="n"/>
      <c r="M103" s="164" t="n"/>
      <c r="N103" s="164" t="n"/>
      <c r="O103" s="164" t="n"/>
      <c r="P103" s="133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128" t="n"/>
      <c r="C104" s="129" t="n"/>
      <c r="D104" s="130" t="n"/>
      <c r="E104" s="128" t="n"/>
      <c r="F104" s="129" t="n"/>
      <c r="G104" s="130" t="n"/>
      <c r="H104" s="128" t="n"/>
      <c r="I104" s="129" t="n"/>
      <c r="J104" s="130" t="n"/>
      <c r="K104" s="117" t="n"/>
      <c r="L104" s="46" t="n"/>
      <c r="M104" s="164" t="n"/>
      <c r="N104" s="164" t="n"/>
      <c r="O104" s="164" t="n"/>
      <c r="P104" s="133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134" t="n"/>
      <c r="C105" s="135" t="n"/>
      <c r="D105" s="136" t="n"/>
      <c r="E105" s="134" t="n"/>
      <c r="F105" s="135" t="n"/>
      <c r="G105" s="136" t="n"/>
      <c r="H105" s="134" t="n"/>
      <c r="I105" s="135" t="n"/>
      <c r="J105" s="136" t="n"/>
      <c r="K105" s="124" t="n"/>
      <c r="L105" s="54" t="n"/>
      <c r="M105" s="164" t="n"/>
      <c r="N105" s="164" t="n"/>
      <c r="O105" s="164" t="n"/>
      <c r="P105" s="133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118" t="n"/>
      <c r="C106" s="118" t="n"/>
      <c r="D106" s="119" t="n"/>
      <c r="E106" s="118" t="n"/>
      <c r="F106" s="118" t="n"/>
      <c r="G106" s="119" t="n"/>
      <c r="H106" s="118" t="n"/>
      <c r="I106" s="118" t="n"/>
      <c r="J106" s="119" t="n"/>
      <c r="K106" s="119" t="n"/>
      <c r="L106" s="54" t="n"/>
      <c r="M106" s="164" t="n"/>
      <c r="N106" s="164" t="n"/>
      <c r="O106" s="164" t="n"/>
      <c r="P106" s="133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121" t="n"/>
      <c r="C107" s="121" t="n"/>
      <c r="D107" s="64" t="n"/>
      <c r="E107" s="121" t="n"/>
      <c r="F107" s="121" t="n"/>
      <c r="G107" s="64" t="n"/>
      <c r="H107" s="121" t="n"/>
      <c r="I107" s="121" t="n"/>
      <c r="J107" s="64" t="n"/>
      <c r="K107" s="64" t="n"/>
      <c r="L107" s="65" t="n"/>
      <c r="M107" s="66" t="n"/>
      <c r="N107" s="66" t="n"/>
      <c r="O107" s="66" t="n"/>
      <c r="P107" s="138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93" t="n"/>
      <c r="C108" s="95" t="n"/>
      <c r="D108" s="97" t="n"/>
      <c r="E108" s="93" t="n"/>
      <c r="F108" s="95" t="n"/>
      <c r="G108" s="97" t="n"/>
      <c r="H108" s="93" t="n"/>
      <c r="I108" s="95" t="n"/>
      <c r="J108" s="97" t="n"/>
      <c r="K108" s="109" t="n"/>
      <c r="L108" s="39" t="n"/>
      <c r="M108" s="34" t="n"/>
      <c r="N108" s="34" t="n"/>
      <c r="O108" s="34" t="n"/>
      <c r="P108" s="131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128" t="n"/>
      <c r="C109" s="129" t="n"/>
      <c r="D109" s="130" t="n"/>
      <c r="E109" s="128" t="n"/>
      <c r="F109" s="129" t="n"/>
      <c r="G109" s="130" t="n"/>
      <c r="H109" s="128" t="n"/>
      <c r="I109" s="129" t="n"/>
      <c r="J109" s="130" t="n"/>
      <c r="K109" s="117" t="n"/>
      <c r="L109" s="46" t="n"/>
      <c r="M109" s="164" t="n"/>
      <c r="N109" s="164" t="n"/>
      <c r="O109" s="164" t="n"/>
      <c r="P109" s="133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128" t="n"/>
      <c r="C110" s="129" t="n"/>
      <c r="D110" s="130" t="n"/>
      <c r="E110" s="128" t="n"/>
      <c r="F110" s="129" t="n"/>
      <c r="G110" s="130" t="n"/>
      <c r="H110" s="128" t="n"/>
      <c r="I110" s="129" t="n"/>
      <c r="J110" s="130" t="n"/>
      <c r="K110" s="117" t="n"/>
      <c r="L110" s="46" t="n"/>
      <c r="M110" s="164" t="n"/>
      <c r="N110" s="164" t="n"/>
      <c r="O110" s="164" t="n"/>
      <c r="P110" s="133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128" t="n"/>
      <c r="C111" s="129" t="n"/>
      <c r="D111" s="130" t="n"/>
      <c r="E111" s="128" t="n"/>
      <c r="F111" s="129" t="n"/>
      <c r="G111" s="130" t="n"/>
      <c r="H111" s="128" t="n"/>
      <c r="I111" s="129" t="n"/>
      <c r="J111" s="130" t="n"/>
      <c r="K111" s="117" t="n"/>
      <c r="L111" s="46" t="n"/>
      <c r="M111" s="164" t="n"/>
      <c r="N111" s="164" t="n"/>
      <c r="O111" s="164" t="n"/>
      <c r="P111" s="133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134" t="n"/>
      <c r="C112" s="135" t="n"/>
      <c r="D112" s="136" t="n"/>
      <c r="E112" s="134" t="n"/>
      <c r="F112" s="135" t="n"/>
      <c r="G112" s="136" t="n"/>
      <c r="H112" s="134" t="n"/>
      <c r="I112" s="135" t="n"/>
      <c r="J112" s="136" t="n"/>
      <c r="K112" s="124" t="n"/>
      <c r="L112" s="54" t="n"/>
      <c r="M112" s="164" t="n"/>
      <c r="N112" s="164" t="n"/>
      <c r="O112" s="164" t="n"/>
      <c r="P112" s="133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118" t="n"/>
      <c r="C113" s="118" t="n"/>
      <c r="D113" s="119" t="n"/>
      <c r="E113" s="118" t="n"/>
      <c r="F113" s="118" t="n"/>
      <c r="G113" s="119" t="n"/>
      <c r="H113" s="118" t="n"/>
      <c r="I113" s="118" t="n"/>
      <c r="J113" s="119" t="n"/>
      <c r="K113" s="119" t="n"/>
      <c r="L113" s="54" t="n"/>
      <c r="M113" s="164" t="n"/>
      <c r="N113" s="164" t="n"/>
      <c r="O113" s="164" t="n"/>
      <c r="P113" s="133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121" t="n"/>
      <c r="C114" s="121" t="n"/>
      <c r="D114" s="64" t="n"/>
      <c r="E114" s="121" t="n"/>
      <c r="F114" s="121" t="n"/>
      <c r="G114" s="64" t="n"/>
      <c r="H114" s="121" t="n"/>
      <c r="I114" s="121" t="n"/>
      <c r="J114" s="64" t="n"/>
      <c r="K114" s="64" t="n"/>
      <c r="L114" s="65" t="n"/>
      <c r="M114" s="66" t="n"/>
      <c r="N114" s="66" t="n"/>
      <c r="O114" s="66" t="n"/>
      <c r="P114" s="138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93" t="n"/>
      <c r="C115" s="95" t="n"/>
      <c r="D115" s="97" t="n"/>
      <c r="E115" s="93" t="n"/>
      <c r="F115" s="95" t="n"/>
      <c r="G115" s="97" t="n"/>
      <c r="H115" s="93" t="n"/>
      <c r="I115" s="95" t="n"/>
      <c r="J115" s="97" t="n"/>
      <c r="K115" s="109" t="n"/>
      <c r="L115" s="39" t="n"/>
      <c r="M115" s="34" t="n"/>
      <c r="N115" s="34" t="n"/>
      <c r="O115" s="34" t="n"/>
      <c r="P115" s="131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128" t="n"/>
      <c r="C116" s="129" t="n"/>
      <c r="D116" s="130" t="n"/>
      <c r="E116" s="128" t="n"/>
      <c r="F116" s="129" t="n"/>
      <c r="G116" s="130" t="n"/>
      <c r="H116" s="128" t="n"/>
      <c r="I116" s="129" t="n"/>
      <c r="J116" s="130" t="n"/>
      <c r="K116" s="117" t="n"/>
      <c r="L116" s="46" t="n"/>
      <c r="M116" s="164" t="n"/>
      <c r="N116" s="164" t="n"/>
      <c r="O116" s="164" t="n"/>
      <c r="P116" s="133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128" t="n"/>
      <c r="C117" s="129" t="n"/>
      <c r="D117" s="130" t="n"/>
      <c r="E117" s="128" t="n"/>
      <c r="F117" s="129" t="n"/>
      <c r="G117" s="130" t="n"/>
      <c r="H117" s="128" t="n"/>
      <c r="I117" s="129" t="n"/>
      <c r="J117" s="130" t="n"/>
      <c r="K117" s="117" t="n"/>
      <c r="L117" s="46" t="n"/>
      <c r="M117" s="164" t="n"/>
      <c r="N117" s="164" t="n"/>
      <c r="O117" s="164" t="n"/>
      <c r="P117" s="133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128" t="n"/>
      <c r="C118" s="129" t="n"/>
      <c r="D118" s="130" t="n"/>
      <c r="E118" s="128" t="n"/>
      <c r="F118" s="129" t="n"/>
      <c r="G118" s="130" t="n"/>
      <c r="H118" s="128" t="n"/>
      <c r="I118" s="129" t="n"/>
      <c r="J118" s="130" t="n"/>
      <c r="K118" s="117" t="n"/>
      <c r="L118" s="46" t="n"/>
      <c r="M118" s="164" t="n"/>
      <c r="N118" s="164" t="n"/>
      <c r="O118" s="164" t="n"/>
      <c r="P118" s="133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134" t="n"/>
      <c r="C119" s="135" t="n"/>
      <c r="D119" s="136" t="n"/>
      <c r="E119" s="134" t="n"/>
      <c r="F119" s="135" t="n"/>
      <c r="G119" s="136" t="n"/>
      <c r="H119" s="134" t="n"/>
      <c r="I119" s="135" t="n"/>
      <c r="J119" s="136" t="n"/>
      <c r="K119" s="124" t="n"/>
      <c r="L119" s="54" t="n"/>
      <c r="M119" s="164" t="n"/>
      <c r="N119" s="164" t="n"/>
      <c r="O119" s="164" t="n"/>
      <c r="P119" s="133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118" t="n"/>
      <c r="C120" s="118" t="n"/>
      <c r="D120" s="119" t="n"/>
      <c r="E120" s="118" t="n"/>
      <c r="F120" s="118" t="n"/>
      <c r="G120" s="119" t="n"/>
      <c r="H120" s="118" t="n"/>
      <c r="I120" s="118" t="n"/>
      <c r="J120" s="119" t="n"/>
      <c r="K120" s="119" t="n"/>
      <c r="L120" s="54" t="n"/>
      <c r="M120" s="164" t="n"/>
      <c r="N120" s="164" t="n"/>
      <c r="O120" s="164" t="n"/>
      <c r="P120" s="133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121" t="n"/>
      <c r="C121" s="121" t="n"/>
      <c r="D121" s="64" t="n"/>
      <c r="E121" s="121" t="n"/>
      <c r="F121" s="121" t="n"/>
      <c r="G121" s="64" t="n"/>
      <c r="H121" s="121" t="n"/>
      <c r="I121" s="121" t="n"/>
      <c r="J121" s="64" t="n"/>
      <c r="K121" s="64" t="n"/>
      <c r="L121" s="65" t="n"/>
      <c r="M121" s="66" t="n"/>
      <c r="N121" s="66" t="n"/>
      <c r="O121" s="66" t="n"/>
      <c r="P121" s="138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93" t="n"/>
      <c r="C122" s="95" t="n"/>
      <c r="D122" s="97" t="n"/>
      <c r="E122" s="93" t="n"/>
      <c r="F122" s="95" t="n"/>
      <c r="G122" s="97" t="n"/>
      <c r="H122" s="93" t="n"/>
      <c r="I122" s="95" t="n"/>
      <c r="J122" s="97" t="n"/>
      <c r="K122" s="109" t="n"/>
      <c r="L122" s="39" t="n"/>
      <c r="M122" s="34" t="n"/>
      <c r="N122" s="34" t="n"/>
      <c r="O122" s="34" t="n"/>
      <c r="P122" s="131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128" t="n"/>
      <c r="C123" s="129" t="n"/>
      <c r="D123" s="130" t="n"/>
      <c r="E123" s="128" t="n"/>
      <c r="F123" s="129" t="n"/>
      <c r="G123" s="130" t="n"/>
      <c r="H123" s="128" t="n"/>
      <c r="I123" s="129" t="n"/>
      <c r="J123" s="130" t="n"/>
      <c r="K123" s="117" t="n"/>
      <c r="L123" s="46" t="n"/>
      <c r="M123" s="164" t="n"/>
      <c r="N123" s="164" t="n"/>
      <c r="O123" s="164" t="n"/>
      <c r="P123" s="133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128" t="n"/>
      <c r="C124" s="129" t="n"/>
      <c r="D124" s="130" t="n"/>
      <c r="E124" s="128" t="n"/>
      <c r="F124" s="129" t="n"/>
      <c r="G124" s="130" t="n"/>
      <c r="H124" s="128" t="n"/>
      <c r="I124" s="129" t="n"/>
      <c r="J124" s="130" t="n"/>
      <c r="K124" s="117" t="n"/>
      <c r="L124" s="46" t="n"/>
      <c r="M124" s="164" t="n"/>
      <c r="N124" s="164" t="n"/>
      <c r="O124" s="164" t="n"/>
      <c r="P124" s="133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128" t="n"/>
      <c r="C125" s="129" t="n"/>
      <c r="D125" s="130" t="n"/>
      <c r="E125" s="128" t="n"/>
      <c r="F125" s="129" t="n"/>
      <c r="G125" s="130" t="n"/>
      <c r="H125" s="128" t="n"/>
      <c r="I125" s="129" t="n"/>
      <c r="J125" s="130" t="n"/>
      <c r="K125" s="117" t="n"/>
      <c r="L125" s="46" t="n"/>
      <c r="M125" s="164" t="n"/>
      <c r="N125" s="164" t="n"/>
      <c r="O125" s="164" t="n"/>
      <c r="P125" s="133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134" t="n"/>
      <c r="C126" s="135" t="n"/>
      <c r="D126" s="136" t="n"/>
      <c r="E126" s="134" t="n"/>
      <c r="F126" s="135" t="n"/>
      <c r="G126" s="136" t="n"/>
      <c r="H126" s="134" t="n"/>
      <c r="I126" s="135" t="n"/>
      <c r="J126" s="136" t="n"/>
      <c r="K126" s="124" t="n"/>
      <c r="L126" s="54" t="n"/>
      <c r="M126" s="164" t="n"/>
      <c r="N126" s="164" t="n"/>
      <c r="O126" s="164" t="n"/>
      <c r="P126" s="133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118" t="n"/>
      <c r="C127" s="118" t="n"/>
      <c r="D127" s="119" t="n"/>
      <c r="E127" s="118" t="n"/>
      <c r="F127" s="118" t="n"/>
      <c r="G127" s="119" t="n"/>
      <c r="H127" s="118" t="n"/>
      <c r="I127" s="118" t="n"/>
      <c r="J127" s="119" t="n"/>
      <c r="K127" s="119" t="n"/>
      <c r="L127" s="54" t="n"/>
      <c r="M127" s="164" t="n"/>
      <c r="N127" s="164" t="n"/>
      <c r="O127" s="164" t="n"/>
      <c r="P127" s="133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121" t="n"/>
      <c r="C128" s="121" t="n"/>
      <c r="D128" s="64" t="n"/>
      <c r="E128" s="121" t="n"/>
      <c r="F128" s="121" t="n"/>
      <c r="G128" s="64" t="n"/>
      <c r="H128" s="121" t="n"/>
      <c r="I128" s="121" t="n"/>
      <c r="J128" s="64" t="n"/>
      <c r="K128" s="64" t="n"/>
      <c r="L128" s="65" t="n"/>
      <c r="M128" s="66" t="n"/>
      <c r="N128" s="66" t="n"/>
      <c r="O128" s="66" t="n"/>
      <c r="P128" s="138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93" t="n"/>
      <c r="C129" s="95" t="n"/>
      <c r="D129" s="97" t="n"/>
      <c r="E129" s="93" t="n"/>
      <c r="F129" s="95" t="n"/>
      <c r="G129" s="97" t="n"/>
      <c r="H129" s="93" t="n"/>
      <c r="I129" s="95" t="n"/>
      <c r="J129" s="97" t="n"/>
      <c r="K129" s="109" t="n"/>
      <c r="L129" s="39" t="n"/>
      <c r="M129" s="34" t="n"/>
      <c r="N129" s="34" t="n"/>
      <c r="O129" s="34" t="n"/>
      <c r="P129" s="131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128" t="n"/>
      <c r="C130" s="129" t="n"/>
      <c r="D130" s="130" t="n"/>
      <c r="E130" s="128" t="n"/>
      <c r="F130" s="129" t="n"/>
      <c r="G130" s="130" t="n"/>
      <c r="H130" s="128" t="n"/>
      <c r="I130" s="129" t="n"/>
      <c r="J130" s="130" t="n"/>
      <c r="K130" s="117" t="n"/>
      <c r="L130" s="46" t="n"/>
      <c r="M130" s="164" t="n"/>
      <c r="N130" s="164" t="n"/>
      <c r="O130" s="164" t="n"/>
      <c r="P130" s="133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128" t="n"/>
      <c r="C131" s="129" t="n"/>
      <c r="D131" s="130" t="n"/>
      <c r="E131" s="128" t="n"/>
      <c r="F131" s="129" t="n"/>
      <c r="G131" s="130" t="n"/>
      <c r="H131" s="128" t="n"/>
      <c r="I131" s="129" t="n"/>
      <c r="J131" s="130" t="n"/>
      <c r="K131" s="117" t="n"/>
      <c r="L131" s="46" t="n"/>
      <c r="M131" s="164" t="n"/>
      <c r="N131" s="164" t="n"/>
      <c r="O131" s="164" t="n"/>
      <c r="P131" s="133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128" t="n"/>
      <c r="C132" s="129" t="n"/>
      <c r="D132" s="130" t="n"/>
      <c r="E132" s="128" t="n"/>
      <c r="F132" s="129" t="n"/>
      <c r="G132" s="130" t="n"/>
      <c r="H132" s="128" t="n"/>
      <c r="I132" s="129" t="n"/>
      <c r="J132" s="130" t="n"/>
      <c r="K132" s="117" t="n"/>
      <c r="L132" s="46" t="n"/>
      <c r="M132" s="164" t="n"/>
      <c r="N132" s="164" t="n"/>
      <c r="O132" s="164" t="n"/>
      <c r="P132" s="133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134" t="n"/>
      <c r="C133" s="135" t="n"/>
      <c r="D133" s="136" t="n"/>
      <c r="E133" s="134" t="n"/>
      <c r="F133" s="135" t="n"/>
      <c r="G133" s="136" t="n"/>
      <c r="H133" s="134" t="n"/>
      <c r="I133" s="135" t="n"/>
      <c r="J133" s="136" t="n"/>
      <c r="K133" s="124" t="n"/>
      <c r="L133" s="54" t="n"/>
      <c r="M133" s="164" t="n"/>
      <c r="N133" s="164" t="n"/>
      <c r="O133" s="164" t="n"/>
      <c r="P133" s="133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118" t="n"/>
      <c r="C134" s="118" t="n"/>
      <c r="D134" s="119" t="n"/>
      <c r="E134" s="118" t="n"/>
      <c r="F134" s="118" t="n"/>
      <c r="G134" s="119" t="n"/>
      <c r="H134" s="118" t="n"/>
      <c r="I134" s="118" t="n"/>
      <c r="J134" s="119" t="n"/>
      <c r="K134" s="119" t="n"/>
      <c r="L134" s="54" t="n"/>
      <c r="M134" s="164" t="n"/>
      <c r="N134" s="164" t="n"/>
      <c r="O134" s="164" t="n"/>
      <c r="P134" s="133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121" t="n"/>
      <c r="C135" s="121" t="n"/>
      <c r="D135" s="64" t="n"/>
      <c r="E135" s="121" t="n"/>
      <c r="F135" s="121" t="n"/>
      <c r="G135" s="64" t="n"/>
      <c r="H135" s="121" t="n"/>
      <c r="I135" s="121" t="n"/>
      <c r="J135" s="64" t="n"/>
      <c r="K135" s="64" t="n"/>
      <c r="L135" s="65" t="n"/>
      <c r="M135" s="66" t="n"/>
      <c r="N135" s="66" t="n"/>
      <c r="O135" s="66" t="n"/>
      <c r="P135" s="138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93" t="n"/>
      <c r="C136" s="95" t="n"/>
      <c r="D136" s="97" t="n"/>
      <c r="E136" s="93" t="n"/>
      <c r="F136" s="95" t="n"/>
      <c r="G136" s="97" t="n"/>
      <c r="H136" s="93" t="n"/>
      <c r="I136" s="95" t="n"/>
      <c r="J136" s="97" t="n"/>
      <c r="K136" s="109" t="n"/>
      <c r="L136" s="39" t="n"/>
      <c r="M136" s="34" t="n"/>
      <c r="N136" s="34" t="n"/>
      <c r="O136" s="34" t="n"/>
      <c r="P136" s="131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128" t="n"/>
      <c r="C137" s="129" t="n"/>
      <c r="D137" s="130" t="n"/>
      <c r="E137" s="128" t="n"/>
      <c r="F137" s="129" t="n"/>
      <c r="G137" s="130" t="n"/>
      <c r="H137" s="128" t="n"/>
      <c r="I137" s="129" t="n"/>
      <c r="J137" s="130" t="n"/>
      <c r="K137" s="117" t="n"/>
      <c r="L137" s="46" t="n"/>
      <c r="M137" s="164" t="n"/>
      <c r="N137" s="164" t="n"/>
      <c r="O137" s="164" t="n"/>
      <c r="P137" s="133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128" t="n"/>
      <c r="C138" s="129" t="n"/>
      <c r="D138" s="130" t="n"/>
      <c r="E138" s="128" t="n"/>
      <c r="F138" s="129" t="n"/>
      <c r="G138" s="130" t="n"/>
      <c r="H138" s="128" t="n"/>
      <c r="I138" s="129" t="n"/>
      <c r="J138" s="130" t="n"/>
      <c r="K138" s="117" t="n"/>
      <c r="L138" s="46" t="n"/>
      <c r="M138" s="164" t="n"/>
      <c r="N138" s="164" t="n"/>
      <c r="O138" s="164" t="n"/>
      <c r="P138" s="133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128" t="n"/>
      <c r="C139" s="129" t="n"/>
      <c r="D139" s="130" t="n"/>
      <c r="E139" s="128" t="n"/>
      <c r="F139" s="129" t="n"/>
      <c r="G139" s="130" t="n"/>
      <c r="H139" s="128" t="n"/>
      <c r="I139" s="129" t="n"/>
      <c r="J139" s="130" t="n"/>
      <c r="K139" s="117" t="n"/>
      <c r="L139" s="46" t="n"/>
      <c r="M139" s="164" t="n"/>
      <c r="N139" s="164" t="n"/>
      <c r="O139" s="164" t="n"/>
      <c r="P139" s="133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134" t="n"/>
      <c r="C140" s="135" t="n"/>
      <c r="D140" s="136" t="n"/>
      <c r="E140" s="134" t="n"/>
      <c r="F140" s="135" t="n"/>
      <c r="G140" s="136" t="n"/>
      <c r="H140" s="134" t="n"/>
      <c r="I140" s="135" t="n"/>
      <c r="J140" s="136" t="n"/>
      <c r="K140" s="124" t="n"/>
      <c r="L140" s="54" t="n"/>
      <c r="M140" s="164" t="n"/>
      <c r="N140" s="164" t="n"/>
      <c r="O140" s="164" t="n"/>
      <c r="P140" s="133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118" t="n"/>
      <c r="C141" s="118" t="n"/>
      <c r="D141" s="119" t="n"/>
      <c r="E141" s="118" t="n"/>
      <c r="F141" s="118" t="n"/>
      <c r="G141" s="119" t="n"/>
      <c r="H141" s="118" t="n"/>
      <c r="I141" s="118" t="n"/>
      <c r="J141" s="119" t="n"/>
      <c r="K141" s="119" t="n"/>
      <c r="L141" s="54" t="n"/>
      <c r="M141" s="164" t="n"/>
      <c r="N141" s="164" t="n"/>
      <c r="O141" s="164" t="n"/>
      <c r="P141" s="133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121" t="n"/>
      <c r="C142" s="121" t="n"/>
      <c r="D142" s="64" t="n"/>
      <c r="E142" s="121" t="n"/>
      <c r="F142" s="121" t="n"/>
      <c r="G142" s="64" t="n"/>
      <c r="H142" s="121" t="n"/>
      <c r="I142" s="121" t="n"/>
      <c r="J142" s="64" t="n"/>
      <c r="K142" s="64" t="n"/>
      <c r="L142" s="65" t="n"/>
      <c r="M142" s="66" t="n"/>
      <c r="N142" s="66" t="n"/>
      <c r="O142" s="66" t="n"/>
      <c r="P142" s="138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93" t="n"/>
      <c r="C143" s="95" t="n"/>
      <c r="D143" s="97" t="n"/>
      <c r="E143" s="93" t="n"/>
      <c r="F143" s="95" t="n"/>
      <c r="G143" s="97" t="n"/>
      <c r="H143" s="93" t="n"/>
      <c r="I143" s="95" t="n"/>
      <c r="J143" s="97" t="n"/>
      <c r="K143" s="109" t="n"/>
      <c r="L143" s="39" t="n"/>
      <c r="M143" s="34" t="n"/>
      <c r="N143" s="34" t="n"/>
      <c r="O143" s="34" t="n"/>
      <c r="P143" s="131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128" t="n"/>
      <c r="C144" s="129" t="n"/>
      <c r="D144" s="130" t="n"/>
      <c r="E144" s="128" t="n"/>
      <c r="F144" s="129" t="n"/>
      <c r="G144" s="130" t="n"/>
      <c r="H144" s="128" t="n"/>
      <c r="I144" s="129" t="n"/>
      <c r="J144" s="130" t="n"/>
      <c r="K144" s="117" t="n"/>
      <c r="L144" s="46" t="n"/>
      <c r="M144" s="164" t="n"/>
      <c r="N144" s="164" t="n"/>
      <c r="O144" s="164" t="n"/>
      <c r="P144" s="133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128" t="n"/>
      <c r="C145" s="129" t="n"/>
      <c r="D145" s="130" t="n"/>
      <c r="E145" s="128" t="n"/>
      <c r="F145" s="129" t="n"/>
      <c r="G145" s="130" t="n"/>
      <c r="H145" s="128" t="n"/>
      <c r="I145" s="129" t="n"/>
      <c r="J145" s="130" t="n"/>
      <c r="K145" s="117" t="n"/>
      <c r="L145" s="46" t="n"/>
      <c r="M145" s="164" t="n"/>
      <c r="N145" s="164" t="n"/>
      <c r="O145" s="164" t="n"/>
      <c r="P145" s="133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128" t="n"/>
      <c r="C146" s="129" t="n"/>
      <c r="D146" s="130" t="n"/>
      <c r="E146" s="128" t="n"/>
      <c r="F146" s="129" t="n"/>
      <c r="G146" s="130" t="n"/>
      <c r="H146" s="128" t="n"/>
      <c r="I146" s="129" t="n"/>
      <c r="J146" s="130" t="n"/>
      <c r="K146" s="117" t="n"/>
      <c r="L146" s="46" t="n"/>
      <c r="M146" s="164" t="n"/>
      <c r="N146" s="164" t="n"/>
      <c r="O146" s="164" t="n"/>
      <c r="P146" s="133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134" t="n"/>
      <c r="C147" s="135" t="n"/>
      <c r="D147" s="136" t="n"/>
      <c r="E147" s="134" t="n"/>
      <c r="F147" s="135" t="n"/>
      <c r="G147" s="136" t="n"/>
      <c r="H147" s="134" t="n"/>
      <c r="I147" s="135" t="n"/>
      <c r="J147" s="136" t="n"/>
      <c r="K147" s="124" t="n"/>
      <c r="L147" s="54" t="n"/>
      <c r="M147" s="164" t="n"/>
      <c r="N147" s="164" t="n"/>
      <c r="O147" s="164" t="n"/>
      <c r="P147" s="133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118" t="n"/>
      <c r="C148" s="118" t="n"/>
      <c r="D148" s="119" t="n"/>
      <c r="E148" s="118" t="n"/>
      <c r="F148" s="118" t="n"/>
      <c r="G148" s="119" t="n"/>
      <c r="H148" s="118" t="n"/>
      <c r="I148" s="118" t="n"/>
      <c r="J148" s="119" t="n"/>
      <c r="K148" s="119" t="n"/>
      <c r="L148" s="54" t="n"/>
      <c r="M148" s="164" t="n"/>
      <c r="N148" s="164" t="n"/>
      <c r="O148" s="164" t="n"/>
      <c r="P148" s="133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121" t="n"/>
      <c r="C149" s="121" t="n"/>
      <c r="D149" s="64" t="n"/>
      <c r="E149" s="121" t="n"/>
      <c r="F149" s="121" t="n"/>
      <c r="G149" s="64" t="n"/>
      <c r="H149" s="121" t="n"/>
      <c r="I149" s="121" t="n"/>
      <c r="J149" s="64" t="n"/>
      <c r="K149" s="64" t="n"/>
      <c r="L149" s="65" t="n"/>
      <c r="M149" s="66" t="n"/>
      <c r="N149" s="66" t="n"/>
      <c r="O149" s="66" t="n"/>
      <c r="P149" s="138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93" t="n"/>
      <c r="C150" s="95" t="n"/>
      <c r="D150" s="97" t="n"/>
      <c r="E150" s="93" t="n"/>
      <c r="F150" s="95" t="n"/>
      <c r="G150" s="97" t="n"/>
      <c r="H150" s="93" t="n"/>
      <c r="I150" s="95" t="n"/>
      <c r="J150" s="97" t="n"/>
      <c r="K150" s="109" t="n"/>
      <c r="L150" s="39" t="n"/>
      <c r="M150" s="34" t="n"/>
      <c r="N150" s="34" t="n"/>
      <c r="O150" s="34" t="n"/>
      <c r="P150" s="131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128" t="n"/>
      <c r="C151" s="129" t="n"/>
      <c r="D151" s="130" t="n"/>
      <c r="E151" s="128" t="n"/>
      <c r="F151" s="129" t="n"/>
      <c r="G151" s="130" t="n"/>
      <c r="H151" s="128" t="n"/>
      <c r="I151" s="129" t="n"/>
      <c r="J151" s="130" t="n"/>
      <c r="K151" s="117" t="n"/>
      <c r="L151" s="46" t="n"/>
      <c r="M151" s="164" t="n"/>
      <c r="N151" s="164" t="n"/>
      <c r="O151" s="164" t="n"/>
      <c r="P151" s="133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128" t="n"/>
      <c r="C152" s="129" t="n"/>
      <c r="D152" s="130" t="n"/>
      <c r="E152" s="128" t="n"/>
      <c r="F152" s="129" t="n"/>
      <c r="G152" s="130" t="n"/>
      <c r="H152" s="128" t="n"/>
      <c r="I152" s="129" t="n"/>
      <c r="J152" s="130" t="n"/>
      <c r="K152" s="117" t="n"/>
      <c r="L152" s="46" t="n"/>
      <c r="M152" s="164" t="n"/>
      <c r="N152" s="164" t="n"/>
      <c r="O152" s="164" t="n"/>
      <c r="P152" s="133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128" t="n"/>
      <c r="C153" s="129" t="n"/>
      <c r="D153" s="130" t="n"/>
      <c r="E153" s="128" t="n"/>
      <c r="F153" s="129" t="n"/>
      <c r="G153" s="130" t="n"/>
      <c r="H153" s="128" t="n"/>
      <c r="I153" s="129" t="n"/>
      <c r="J153" s="130" t="n"/>
      <c r="K153" s="117" t="n"/>
      <c r="L153" s="46" t="n"/>
      <c r="M153" s="164" t="n"/>
      <c r="N153" s="164" t="n"/>
      <c r="O153" s="164" t="n"/>
      <c r="P153" s="133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134" t="n"/>
      <c r="C154" s="135" t="n"/>
      <c r="D154" s="136" t="n"/>
      <c r="E154" s="134" t="n"/>
      <c r="F154" s="135" t="n"/>
      <c r="G154" s="136" t="n"/>
      <c r="H154" s="134" t="n"/>
      <c r="I154" s="135" t="n"/>
      <c r="J154" s="136" t="n"/>
      <c r="K154" s="124" t="n"/>
      <c r="L154" s="54" t="n"/>
      <c r="M154" s="164" t="n"/>
      <c r="N154" s="164" t="n"/>
      <c r="O154" s="164" t="n"/>
      <c r="P154" s="133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118" t="n"/>
      <c r="C155" s="118" t="n"/>
      <c r="D155" s="119" t="n"/>
      <c r="E155" s="118" t="n"/>
      <c r="F155" s="118" t="n"/>
      <c r="G155" s="119" t="n"/>
      <c r="H155" s="118" t="n"/>
      <c r="I155" s="118" t="n"/>
      <c r="J155" s="119" t="n"/>
      <c r="K155" s="119" t="n"/>
      <c r="L155" s="54" t="n"/>
      <c r="M155" s="164" t="n"/>
      <c r="N155" s="164" t="n"/>
      <c r="O155" s="164" t="n"/>
      <c r="P155" s="133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121" t="n"/>
      <c r="C156" s="121" t="n"/>
      <c r="D156" s="64" t="n"/>
      <c r="E156" s="121" t="n"/>
      <c r="F156" s="121" t="n"/>
      <c r="G156" s="64" t="n"/>
      <c r="H156" s="121" t="n"/>
      <c r="I156" s="121" t="n"/>
      <c r="J156" s="64" t="n"/>
      <c r="K156" s="64" t="n"/>
      <c r="L156" s="65" t="n"/>
      <c r="M156" s="66" t="n"/>
      <c r="N156" s="66" t="n"/>
      <c r="O156" s="66" t="n"/>
      <c r="P156" s="138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93" t="n"/>
      <c r="C157" s="95" t="n"/>
      <c r="D157" s="97" t="n"/>
      <c r="E157" s="93" t="n"/>
      <c r="F157" s="95" t="n"/>
      <c r="G157" s="97" t="n"/>
      <c r="H157" s="93" t="n"/>
      <c r="I157" s="95" t="n"/>
      <c r="J157" s="97" t="n"/>
      <c r="K157" s="109" t="n"/>
      <c r="L157" s="39" t="n"/>
      <c r="M157" s="34" t="n"/>
      <c r="N157" s="34" t="n"/>
      <c r="O157" s="34" t="n"/>
      <c r="P157" s="131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128" t="n"/>
      <c r="C158" s="129" t="n"/>
      <c r="D158" s="130" t="n"/>
      <c r="E158" s="128" t="n"/>
      <c r="F158" s="129" t="n"/>
      <c r="G158" s="130" t="n"/>
      <c r="H158" s="128" t="n"/>
      <c r="I158" s="129" t="n"/>
      <c r="J158" s="130" t="n"/>
      <c r="K158" s="117" t="n"/>
      <c r="L158" s="46" t="n"/>
      <c r="M158" s="164" t="n"/>
      <c r="N158" s="164" t="n"/>
      <c r="O158" s="164" t="n"/>
      <c r="P158" s="133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128" t="n"/>
      <c r="C159" s="129" t="n"/>
      <c r="D159" s="130" t="n"/>
      <c r="E159" s="128" t="n"/>
      <c r="F159" s="129" t="n"/>
      <c r="G159" s="130" t="n"/>
      <c r="H159" s="128" t="n"/>
      <c r="I159" s="129" t="n"/>
      <c r="J159" s="130" t="n"/>
      <c r="K159" s="117" t="n"/>
      <c r="L159" s="46" t="n"/>
      <c r="M159" s="164" t="n"/>
      <c r="N159" s="164" t="n"/>
      <c r="O159" s="164" t="n"/>
      <c r="P159" s="133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128" t="n"/>
      <c r="C160" s="129" t="n"/>
      <c r="D160" s="130" t="n"/>
      <c r="E160" s="128" t="n"/>
      <c r="F160" s="129" t="n"/>
      <c r="G160" s="130" t="n"/>
      <c r="H160" s="128" t="n"/>
      <c r="I160" s="129" t="n"/>
      <c r="J160" s="130" t="n"/>
      <c r="K160" s="117" t="n"/>
      <c r="L160" s="46" t="n"/>
      <c r="M160" s="164" t="n"/>
      <c r="N160" s="164" t="n"/>
      <c r="O160" s="164" t="n"/>
      <c r="P160" s="133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134" t="n"/>
      <c r="C161" s="135" t="n"/>
      <c r="D161" s="136" t="n"/>
      <c r="E161" s="134" t="n"/>
      <c r="F161" s="135" t="n"/>
      <c r="G161" s="136" t="n"/>
      <c r="H161" s="134" t="n"/>
      <c r="I161" s="135" t="n"/>
      <c r="J161" s="136" t="n"/>
      <c r="K161" s="124" t="n"/>
      <c r="L161" s="54" t="n"/>
      <c r="M161" s="164" t="n"/>
      <c r="N161" s="164" t="n"/>
      <c r="O161" s="164" t="n"/>
      <c r="P161" s="133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118" t="n"/>
      <c r="C162" s="118" t="n"/>
      <c r="D162" s="119" t="n"/>
      <c r="E162" s="118" t="n"/>
      <c r="F162" s="118" t="n"/>
      <c r="G162" s="119" t="n"/>
      <c r="H162" s="118" t="n"/>
      <c r="I162" s="118" t="n"/>
      <c r="J162" s="119" t="n"/>
      <c r="K162" s="119" t="n"/>
      <c r="L162" s="54" t="n"/>
      <c r="M162" s="164" t="n"/>
      <c r="N162" s="164" t="n"/>
      <c r="O162" s="164" t="n"/>
      <c r="P162" s="133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121" t="n"/>
      <c r="C163" s="121" t="n"/>
      <c r="D163" s="64" t="n"/>
      <c r="E163" s="121" t="n"/>
      <c r="F163" s="121" t="n"/>
      <c r="G163" s="64" t="n"/>
      <c r="H163" s="121" t="n"/>
      <c r="I163" s="121" t="n"/>
      <c r="J163" s="64" t="n"/>
      <c r="K163" s="64" t="n"/>
      <c r="L163" s="65" t="n"/>
      <c r="M163" s="66" t="n"/>
      <c r="N163" s="66" t="n"/>
      <c r="O163" s="66" t="n"/>
      <c r="P163" s="138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93" t="n"/>
      <c r="C164" s="95" t="n"/>
      <c r="D164" s="97" t="n"/>
      <c r="E164" s="93" t="n"/>
      <c r="F164" s="95" t="n"/>
      <c r="G164" s="97" t="n"/>
      <c r="H164" s="93" t="n"/>
      <c r="I164" s="95" t="n"/>
      <c r="J164" s="97" t="n"/>
      <c r="K164" s="109" t="n"/>
      <c r="L164" s="39" t="n"/>
      <c r="M164" s="34" t="n"/>
      <c r="N164" s="34" t="n"/>
      <c r="O164" s="34" t="n"/>
      <c r="P164" s="131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128" t="n"/>
      <c r="C165" s="129" t="n"/>
      <c r="D165" s="130" t="n"/>
      <c r="E165" s="128" t="n"/>
      <c r="F165" s="129" t="n"/>
      <c r="G165" s="130" t="n"/>
      <c r="H165" s="128" t="n"/>
      <c r="I165" s="129" t="n"/>
      <c r="J165" s="130" t="n"/>
      <c r="K165" s="117" t="n"/>
      <c r="L165" s="46" t="n"/>
      <c r="M165" s="164" t="n"/>
      <c r="N165" s="164" t="n"/>
      <c r="O165" s="164" t="n"/>
      <c r="P165" s="133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128" t="n"/>
      <c r="C166" s="129" t="n"/>
      <c r="D166" s="130" t="n"/>
      <c r="E166" s="128" t="n"/>
      <c r="F166" s="129" t="n"/>
      <c r="G166" s="130" t="n"/>
      <c r="H166" s="128" t="n"/>
      <c r="I166" s="129" t="n"/>
      <c r="J166" s="130" t="n"/>
      <c r="K166" s="117" t="n"/>
      <c r="L166" s="46" t="n"/>
      <c r="M166" s="164" t="n"/>
      <c r="N166" s="164" t="n"/>
      <c r="O166" s="164" t="n"/>
      <c r="P166" s="133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128" t="n"/>
      <c r="C167" s="129" t="n"/>
      <c r="D167" s="130" t="n"/>
      <c r="E167" s="128" t="n"/>
      <c r="F167" s="129" t="n"/>
      <c r="G167" s="130" t="n"/>
      <c r="H167" s="128" t="n"/>
      <c r="I167" s="129" t="n"/>
      <c r="J167" s="130" t="n"/>
      <c r="K167" s="117" t="n"/>
      <c r="L167" s="46" t="n"/>
      <c r="M167" s="164" t="n"/>
      <c r="N167" s="164" t="n"/>
      <c r="O167" s="164" t="n"/>
      <c r="P167" s="133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134" t="n"/>
      <c r="C168" s="135" t="n"/>
      <c r="D168" s="136" t="n"/>
      <c r="E168" s="134" t="n"/>
      <c r="F168" s="135" t="n"/>
      <c r="G168" s="136" t="n"/>
      <c r="H168" s="134" t="n"/>
      <c r="I168" s="135" t="n"/>
      <c r="J168" s="136" t="n"/>
      <c r="K168" s="124" t="n"/>
      <c r="L168" s="54" t="n"/>
      <c r="M168" s="164" t="n"/>
      <c r="N168" s="164" t="n"/>
      <c r="O168" s="164" t="n"/>
      <c r="P168" s="133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118" t="n"/>
      <c r="C169" s="118" t="n"/>
      <c r="D169" s="119" t="n"/>
      <c r="E169" s="118" t="n"/>
      <c r="F169" s="118" t="n"/>
      <c r="G169" s="119" t="n"/>
      <c r="H169" s="118" t="n"/>
      <c r="I169" s="118" t="n"/>
      <c r="J169" s="119" t="n"/>
      <c r="K169" s="119" t="n"/>
      <c r="L169" s="54" t="n"/>
      <c r="M169" s="164" t="n"/>
      <c r="N169" s="164" t="n"/>
      <c r="O169" s="164" t="n"/>
      <c r="P169" s="133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121" t="n"/>
      <c r="C170" s="121" t="n"/>
      <c r="D170" s="64" t="n"/>
      <c r="E170" s="121" t="n"/>
      <c r="F170" s="121" t="n"/>
      <c r="G170" s="64" t="n"/>
      <c r="H170" s="121" t="n"/>
      <c r="I170" s="121" t="n"/>
      <c r="J170" s="64" t="n"/>
      <c r="K170" s="64" t="n"/>
      <c r="L170" s="65" t="n"/>
      <c r="M170" s="66" t="n"/>
      <c r="N170" s="66" t="n"/>
      <c r="O170" s="66" t="n"/>
      <c r="P170" s="138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93" t="n"/>
      <c r="C171" s="95" t="n"/>
      <c r="D171" s="97" t="n"/>
      <c r="E171" s="93" t="n"/>
      <c r="F171" s="95" t="n"/>
      <c r="G171" s="97" t="n"/>
      <c r="H171" s="93" t="n"/>
      <c r="I171" s="95" t="n"/>
      <c r="J171" s="97" t="n"/>
      <c r="K171" s="109" t="n"/>
      <c r="L171" s="39" t="n"/>
      <c r="M171" s="34" t="n"/>
      <c r="N171" s="34" t="n"/>
      <c r="O171" s="34" t="n"/>
      <c r="P171" s="131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128" t="n"/>
      <c r="C172" s="129" t="n"/>
      <c r="D172" s="130" t="n"/>
      <c r="E172" s="128" t="n"/>
      <c r="F172" s="129" t="n"/>
      <c r="G172" s="130" t="n"/>
      <c r="H172" s="128" t="n"/>
      <c r="I172" s="129" t="n"/>
      <c r="J172" s="130" t="n"/>
      <c r="K172" s="117" t="n"/>
      <c r="L172" s="46" t="n"/>
      <c r="M172" s="164" t="n"/>
      <c r="N172" s="164" t="n"/>
      <c r="O172" s="164" t="n"/>
      <c r="P172" s="133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128" t="n"/>
      <c r="C173" s="129" t="n"/>
      <c r="D173" s="130" t="n"/>
      <c r="E173" s="128" t="n"/>
      <c r="F173" s="129" t="n"/>
      <c r="G173" s="130" t="n"/>
      <c r="H173" s="128" t="n"/>
      <c r="I173" s="129" t="n"/>
      <c r="J173" s="130" t="n"/>
      <c r="K173" s="117" t="n"/>
      <c r="L173" s="46" t="n"/>
      <c r="M173" s="164" t="n"/>
      <c r="N173" s="164" t="n"/>
      <c r="O173" s="164" t="n"/>
      <c r="P173" s="133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128" t="n"/>
      <c r="C174" s="129" t="n"/>
      <c r="D174" s="130" t="n"/>
      <c r="E174" s="128" t="n"/>
      <c r="F174" s="129" t="n"/>
      <c r="G174" s="130" t="n"/>
      <c r="H174" s="128" t="n"/>
      <c r="I174" s="129" t="n"/>
      <c r="J174" s="130" t="n"/>
      <c r="K174" s="117" t="n"/>
      <c r="L174" s="46" t="n"/>
      <c r="M174" s="164" t="n"/>
      <c r="N174" s="164" t="n"/>
      <c r="O174" s="164" t="n"/>
      <c r="P174" s="133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134" t="n"/>
      <c r="C175" s="135" t="n"/>
      <c r="D175" s="136" t="n"/>
      <c r="E175" s="134" t="n"/>
      <c r="F175" s="135" t="n"/>
      <c r="G175" s="136" t="n"/>
      <c r="H175" s="134" t="n"/>
      <c r="I175" s="135" t="n"/>
      <c r="J175" s="136" t="n"/>
      <c r="K175" s="124" t="n"/>
      <c r="L175" s="54" t="n"/>
      <c r="M175" s="164" t="n"/>
      <c r="N175" s="164" t="n"/>
      <c r="O175" s="164" t="n"/>
      <c r="P175" s="133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118" t="n"/>
      <c r="C176" s="118" t="n"/>
      <c r="D176" s="119" t="n"/>
      <c r="E176" s="118" t="n"/>
      <c r="F176" s="118" t="n"/>
      <c r="G176" s="119" t="n"/>
      <c r="H176" s="118" t="n"/>
      <c r="I176" s="118" t="n"/>
      <c r="J176" s="119" t="n"/>
      <c r="K176" s="119" t="n"/>
      <c r="L176" s="54" t="n"/>
      <c r="M176" s="164" t="n"/>
      <c r="N176" s="164" t="n"/>
      <c r="O176" s="164" t="n"/>
      <c r="P176" s="133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121" t="n"/>
      <c r="C177" s="121" t="n"/>
      <c r="D177" s="64" t="n"/>
      <c r="E177" s="121" t="n"/>
      <c r="F177" s="121" t="n"/>
      <c r="G177" s="64" t="n"/>
      <c r="H177" s="121" t="n"/>
      <c r="I177" s="121" t="n"/>
      <c r="J177" s="64" t="n"/>
      <c r="K177" s="64" t="n"/>
      <c r="L177" s="65" t="n"/>
      <c r="M177" s="66" t="n"/>
      <c r="N177" s="66" t="n"/>
      <c r="O177" s="66" t="n"/>
      <c r="P177" s="138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93" t="n"/>
      <c r="C178" s="95" t="n"/>
      <c r="D178" s="97" t="n"/>
      <c r="E178" s="93" t="n"/>
      <c r="F178" s="95" t="n"/>
      <c r="G178" s="97" t="n"/>
      <c r="H178" s="93" t="n"/>
      <c r="I178" s="95" t="n"/>
      <c r="J178" s="97" t="n"/>
      <c r="K178" s="109" t="n"/>
      <c r="L178" s="39" t="n"/>
      <c r="M178" s="34" t="n"/>
      <c r="N178" s="34" t="n"/>
      <c r="O178" s="34" t="n"/>
      <c r="P178" s="131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128" t="n"/>
      <c r="C179" s="129" t="n"/>
      <c r="D179" s="130" t="n"/>
      <c r="E179" s="128" t="n"/>
      <c r="F179" s="129" t="n"/>
      <c r="G179" s="130" t="n"/>
      <c r="H179" s="128" t="n"/>
      <c r="I179" s="129" t="n"/>
      <c r="J179" s="130" t="n"/>
      <c r="K179" s="117" t="n"/>
      <c r="L179" s="46" t="n"/>
      <c r="M179" s="164" t="n"/>
      <c r="N179" s="164" t="n"/>
      <c r="O179" s="164" t="n"/>
      <c r="P179" s="133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128" t="n"/>
      <c r="C180" s="129" t="n"/>
      <c r="D180" s="130" t="n"/>
      <c r="E180" s="128" t="n"/>
      <c r="F180" s="129" t="n"/>
      <c r="G180" s="130" t="n"/>
      <c r="H180" s="128" t="n"/>
      <c r="I180" s="129" t="n"/>
      <c r="J180" s="130" t="n"/>
      <c r="K180" s="117" t="n"/>
      <c r="L180" s="46" t="n"/>
      <c r="M180" s="164" t="n"/>
      <c r="N180" s="164" t="n"/>
      <c r="O180" s="164" t="n"/>
      <c r="P180" s="133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128" t="n"/>
      <c r="C181" s="129" t="n"/>
      <c r="D181" s="130" t="n"/>
      <c r="E181" s="128" t="n"/>
      <c r="F181" s="129" t="n"/>
      <c r="G181" s="130" t="n"/>
      <c r="H181" s="128" t="n"/>
      <c r="I181" s="129" t="n"/>
      <c r="J181" s="130" t="n"/>
      <c r="K181" s="117" t="n"/>
      <c r="L181" s="46" t="n"/>
      <c r="M181" s="164" t="n"/>
      <c r="N181" s="164" t="n"/>
      <c r="O181" s="164" t="n"/>
      <c r="P181" s="133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134" t="n"/>
      <c r="C182" s="135" t="n"/>
      <c r="D182" s="136" t="n"/>
      <c r="E182" s="134" t="n"/>
      <c r="F182" s="135" t="n"/>
      <c r="G182" s="136" t="n"/>
      <c r="H182" s="134" t="n"/>
      <c r="I182" s="135" t="n"/>
      <c r="J182" s="136" t="n"/>
      <c r="K182" s="124" t="n"/>
      <c r="L182" s="54" t="n"/>
      <c r="M182" s="164" t="n"/>
      <c r="N182" s="164" t="n"/>
      <c r="O182" s="164" t="n"/>
      <c r="P182" s="133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118" t="n"/>
      <c r="C183" s="118" t="n"/>
      <c r="D183" s="119" t="n"/>
      <c r="E183" s="118" t="n"/>
      <c r="F183" s="118" t="n"/>
      <c r="G183" s="119" t="n"/>
      <c r="H183" s="118" t="n"/>
      <c r="I183" s="118" t="n"/>
      <c r="J183" s="119" t="n"/>
      <c r="K183" s="119" t="n"/>
      <c r="L183" s="54" t="n"/>
      <c r="M183" s="164" t="n"/>
      <c r="N183" s="164" t="n"/>
      <c r="O183" s="164" t="n"/>
      <c r="P183" s="133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121" t="n"/>
      <c r="C184" s="121" t="n"/>
      <c r="D184" s="64" t="n"/>
      <c r="E184" s="121" t="n"/>
      <c r="F184" s="121" t="n"/>
      <c r="G184" s="64" t="n"/>
      <c r="H184" s="121" t="n"/>
      <c r="I184" s="121" t="n"/>
      <c r="J184" s="64" t="n"/>
      <c r="K184" s="64" t="n"/>
      <c r="L184" s="65" t="n"/>
      <c r="M184" s="66" t="n"/>
      <c r="N184" s="66" t="n"/>
      <c r="O184" s="66" t="n"/>
      <c r="P184" s="138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93" t="n"/>
      <c r="C185" s="95" t="n"/>
      <c r="D185" s="97" t="n"/>
      <c r="E185" s="93" t="n"/>
      <c r="F185" s="95" t="n"/>
      <c r="G185" s="97" t="n"/>
      <c r="H185" s="93" t="n"/>
      <c r="I185" s="95" t="n"/>
      <c r="J185" s="97" t="n"/>
      <c r="K185" s="109" t="n"/>
      <c r="L185" s="39" t="n"/>
      <c r="M185" s="34" t="n"/>
      <c r="N185" s="34" t="n"/>
      <c r="O185" s="34" t="n"/>
      <c r="P185" s="131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128" t="n"/>
      <c r="C186" s="129" t="n"/>
      <c r="D186" s="130" t="n"/>
      <c r="E186" s="128" t="n"/>
      <c r="F186" s="129" t="n"/>
      <c r="G186" s="130" t="n"/>
      <c r="H186" s="128" t="n"/>
      <c r="I186" s="129" t="n"/>
      <c r="J186" s="130" t="n"/>
      <c r="K186" s="117" t="n"/>
      <c r="L186" s="46" t="n"/>
      <c r="M186" s="164" t="n"/>
      <c r="N186" s="164" t="n"/>
      <c r="O186" s="164" t="n"/>
      <c r="P186" s="133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128" t="n"/>
      <c r="C187" s="129" t="n"/>
      <c r="D187" s="130" t="n"/>
      <c r="E187" s="128" t="n"/>
      <c r="F187" s="129" t="n"/>
      <c r="G187" s="130" t="n"/>
      <c r="H187" s="128" t="n"/>
      <c r="I187" s="129" t="n"/>
      <c r="J187" s="130" t="n"/>
      <c r="K187" s="117" t="n"/>
      <c r="L187" s="46" t="n"/>
      <c r="M187" s="164" t="n"/>
      <c r="N187" s="164" t="n"/>
      <c r="O187" s="164" t="n"/>
      <c r="P187" s="133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128" t="n"/>
      <c r="C188" s="129" t="n"/>
      <c r="D188" s="130" t="n"/>
      <c r="E188" s="128" t="n"/>
      <c r="F188" s="129" t="n"/>
      <c r="G188" s="130" t="n"/>
      <c r="H188" s="128" t="n"/>
      <c r="I188" s="129" t="n"/>
      <c r="J188" s="130" t="n"/>
      <c r="K188" s="117" t="n"/>
      <c r="L188" s="46" t="n"/>
      <c r="M188" s="164" t="n"/>
      <c r="N188" s="164" t="n"/>
      <c r="O188" s="164" t="n"/>
      <c r="P188" s="133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134" t="n"/>
      <c r="C189" s="135" t="n"/>
      <c r="D189" s="136" t="n"/>
      <c r="E189" s="134" t="n"/>
      <c r="F189" s="135" t="n"/>
      <c r="G189" s="136" t="n"/>
      <c r="H189" s="134" t="n"/>
      <c r="I189" s="135" t="n"/>
      <c r="J189" s="136" t="n"/>
      <c r="K189" s="124" t="n"/>
      <c r="L189" s="54" t="n"/>
      <c r="M189" s="164" t="n"/>
      <c r="N189" s="164" t="n"/>
      <c r="O189" s="164" t="n"/>
      <c r="P189" s="133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118" t="n"/>
      <c r="C190" s="118" t="n"/>
      <c r="D190" s="119" t="n"/>
      <c r="E190" s="118" t="n"/>
      <c r="F190" s="118" t="n"/>
      <c r="G190" s="119" t="n"/>
      <c r="H190" s="118" t="n"/>
      <c r="I190" s="118" t="n"/>
      <c r="J190" s="119" t="n"/>
      <c r="K190" s="119" t="n"/>
      <c r="L190" s="54" t="n"/>
      <c r="M190" s="164" t="n"/>
      <c r="N190" s="164" t="n"/>
      <c r="O190" s="164" t="n"/>
      <c r="P190" s="133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121" t="n"/>
      <c r="C191" s="121" t="n"/>
      <c r="D191" s="64" t="n"/>
      <c r="E191" s="121" t="n"/>
      <c r="F191" s="121" t="n"/>
      <c r="G191" s="64" t="n"/>
      <c r="H191" s="121" t="n"/>
      <c r="I191" s="121" t="n"/>
      <c r="J191" s="64" t="n"/>
      <c r="K191" s="64" t="n"/>
      <c r="L191" s="65" t="n"/>
      <c r="M191" s="66" t="n"/>
      <c r="N191" s="66" t="n"/>
      <c r="O191" s="66" t="n"/>
      <c r="P191" s="138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93" t="n"/>
      <c r="C192" s="95" t="n"/>
      <c r="D192" s="97" t="n"/>
      <c r="E192" s="93" t="n"/>
      <c r="F192" s="95" t="n"/>
      <c r="G192" s="97" t="n"/>
      <c r="H192" s="93" t="n"/>
      <c r="I192" s="95" t="n"/>
      <c r="J192" s="97" t="n"/>
      <c r="K192" s="109" t="n"/>
      <c r="L192" s="39" t="n"/>
      <c r="M192" s="34" t="n"/>
      <c r="N192" s="34" t="n"/>
      <c r="O192" s="34" t="n"/>
      <c r="P192" s="131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128" t="n"/>
      <c r="C193" s="129" t="n"/>
      <c r="D193" s="130" t="n"/>
      <c r="E193" s="128" t="n"/>
      <c r="F193" s="129" t="n"/>
      <c r="G193" s="130" t="n"/>
      <c r="H193" s="128" t="n"/>
      <c r="I193" s="129" t="n"/>
      <c r="J193" s="130" t="n"/>
      <c r="K193" s="117" t="n"/>
      <c r="L193" s="46" t="n"/>
      <c r="M193" s="164" t="n"/>
      <c r="N193" s="164" t="n"/>
      <c r="O193" s="164" t="n"/>
      <c r="P193" s="133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128" t="n"/>
      <c r="C194" s="129" t="n"/>
      <c r="D194" s="130" t="n"/>
      <c r="E194" s="128" t="n"/>
      <c r="F194" s="129" t="n"/>
      <c r="G194" s="130" t="n"/>
      <c r="H194" s="128" t="n"/>
      <c r="I194" s="129" t="n"/>
      <c r="J194" s="130" t="n"/>
      <c r="K194" s="117" t="n"/>
      <c r="L194" s="46" t="n"/>
      <c r="M194" s="164" t="n"/>
      <c r="N194" s="164" t="n"/>
      <c r="O194" s="164" t="n"/>
      <c r="P194" s="133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128" t="n"/>
      <c r="C195" s="129" t="n"/>
      <c r="D195" s="130" t="n"/>
      <c r="E195" s="128" t="n"/>
      <c r="F195" s="129" t="n"/>
      <c r="G195" s="130" t="n"/>
      <c r="H195" s="128" t="n"/>
      <c r="I195" s="129" t="n"/>
      <c r="J195" s="130" t="n"/>
      <c r="K195" s="117" t="n"/>
      <c r="L195" s="46" t="n"/>
      <c r="M195" s="164" t="n"/>
      <c r="N195" s="164" t="n"/>
      <c r="O195" s="164" t="n"/>
      <c r="P195" s="133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134" t="n"/>
      <c r="C196" s="135" t="n"/>
      <c r="D196" s="136" t="n"/>
      <c r="E196" s="134" t="n"/>
      <c r="F196" s="135" t="n"/>
      <c r="G196" s="136" t="n"/>
      <c r="H196" s="134" t="n"/>
      <c r="I196" s="135" t="n"/>
      <c r="J196" s="136" t="n"/>
      <c r="K196" s="124" t="n"/>
      <c r="L196" s="54" t="n"/>
      <c r="M196" s="164" t="n"/>
      <c r="N196" s="164" t="n"/>
      <c r="O196" s="164" t="n"/>
      <c r="P196" s="133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118" t="n"/>
      <c r="C197" s="118" t="n"/>
      <c r="D197" s="119" t="n"/>
      <c r="E197" s="118" t="n"/>
      <c r="F197" s="118" t="n"/>
      <c r="G197" s="119" t="n"/>
      <c r="H197" s="118" t="n"/>
      <c r="I197" s="118" t="n"/>
      <c r="J197" s="119" t="n"/>
      <c r="K197" s="119" t="n"/>
      <c r="L197" s="54" t="n"/>
      <c r="M197" s="164" t="n"/>
      <c r="N197" s="164" t="n"/>
      <c r="O197" s="164" t="n"/>
      <c r="P197" s="133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121" t="n"/>
      <c r="C198" s="121" t="n"/>
      <c r="D198" s="64" t="n"/>
      <c r="E198" s="121" t="n"/>
      <c r="F198" s="121" t="n"/>
      <c r="G198" s="64" t="n"/>
      <c r="H198" s="121" t="n"/>
      <c r="I198" s="121" t="n"/>
      <c r="J198" s="64" t="n"/>
      <c r="K198" s="64" t="n"/>
      <c r="L198" s="65" t="n"/>
      <c r="M198" s="66" t="n"/>
      <c r="N198" s="66" t="n"/>
      <c r="O198" s="66" t="n"/>
      <c r="P198" s="138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93" t="n"/>
      <c r="C199" s="95" t="n"/>
      <c r="D199" s="97" t="n"/>
      <c r="E199" s="93" t="n"/>
      <c r="F199" s="95" t="n"/>
      <c r="G199" s="97" t="n"/>
      <c r="H199" s="93" t="n"/>
      <c r="I199" s="95" t="n"/>
      <c r="J199" s="97" t="n"/>
      <c r="K199" s="109" t="n"/>
      <c r="L199" s="39" t="n"/>
      <c r="M199" s="34" t="n"/>
      <c r="N199" s="34" t="n"/>
      <c r="O199" s="34" t="n"/>
      <c r="P199" s="131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128" t="n"/>
      <c r="C200" s="129" t="n"/>
      <c r="D200" s="130" t="n"/>
      <c r="E200" s="128" t="n"/>
      <c r="F200" s="129" t="n"/>
      <c r="G200" s="130" t="n"/>
      <c r="H200" s="128" t="n"/>
      <c r="I200" s="129" t="n"/>
      <c r="J200" s="130" t="n"/>
      <c r="K200" s="117" t="n"/>
      <c r="L200" s="46" t="n"/>
      <c r="M200" s="164" t="n"/>
      <c r="N200" s="164" t="n"/>
      <c r="O200" s="164" t="n"/>
      <c r="P200" s="133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128" t="n"/>
      <c r="C201" s="129" t="n"/>
      <c r="D201" s="130" t="n"/>
      <c r="E201" s="128" t="n"/>
      <c r="F201" s="129" t="n"/>
      <c r="G201" s="130" t="n"/>
      <c r="H201" s="128" t="n"/>
      <c r="I201" s="129" t="n"/>
      <c r="J201" s="130" t="n"/>
      <c r="K201" s="117" t="n"/>
      <c r="L201" s="46" t="n"/>
      <c r="M201" s="164" t="n"/>
      <c r="N201" s="164" t="n"/>
      <c r="O201" s="164" t="n"/>
      <c r="P201" s="133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128" t="n"/>
      <c r="C202" s="129" t="n"/>
      <c r="D202" s="130" t="n"/>
      <c r="E202" s="128" t="n"/>
      <c r="F202" s="129" t="n"/>
      <c r="G202" s="130" t="n"/>
      <c r="H202" s="128" t="n"/>
      <c r="I202" s="129" t="n"/>
      <c r="J202" s="130" t="n"/>
      <c r="K202" s="117" t="n"/>
      <c r="L202" s="46" t="n"/>
      <c r="M202" s="164" t="n"/>
      <c r="N202" s="164" t="n"/>
      <c r="O202" s="164" t="n"/>
      <c r="P202" s="133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134" t="n"/>
      <c r="C203" s="135" t="n"/>
      <c r="D203" s="136" t="n"/>
      <c r="E203" s="134" t="n"/>
      <c r="F203" s="135" t="n"/>
      <c r="G203" s="136" t="n"/>
      <c r="H203" s="134" t="n"/>
      <c r="I203" s="135" t="n"/>
      <c r="J203" s="136" t="n"/>
      <c r="K203" s="124" t="n"/>
      <c r="L203" s="54" t="n"/>
      <c r="M203" s="164" t="n"/>
      <c r="N203" s="164" t="n"/>
      <c r="O203" s="164" t="n"/>
      <c r="P203" s="133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118" t="n"/>
      <c r="C204" s="118" t="n"/>
      <c r="D204" s="119" t="n"/>
      <c r="E204" s="118" t="n"/>
      <c r="F204" s="118" t="n"/>
      <c r="G204" s="119" t="n"/>
      <c r="H204" s="118" t="n"/>
      <c r="I204" s="118" t="n"/>
      <c r="J204" s="119" t="n"/>
      <c r="K204" s="119" t="n"/>
      <c r="L204" s="54" t="n"/>
      <c r="M204" s="164" t="n"/>
      <c r="N204" s="164" t="n"/>
      <c r="O204" s="164" t="n"/>
      <c r="P204" s="133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121" t="n"/>
      <c r="C205" s="121" t="n"/>
      <c r="D205" s="64" t="n"/>
      <c r="E205" s="121" t="n"/>
      <c r="F205" s="121" t="n"/>
      <c r="G205" s="64" t="n"/>
      <c r="H205" s="121" t="n"/>
      <c r="I205" s="121" t="n"/>
      <c r="J205" s="64" t="n"/>
      <c r="K205" s="64" t="n"/>
      <c r="L205" s="65" t="n"/>
      <c r="M205" s="66" t="n"/>
      <c r="N205" s="66" t="n"/>
      <c r="O205" s="66" t="n"/>
      <c r="P205" s="138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93" t="n"/>
      <c r="C206" s="95" t="n"/>
      <c r="D206" s="97" t="n"/>
      <c r="E206" s="93" t="n"/>
      <c r="F206" s="95" t="n"/>
      <c r="G206" s="97" t="n"/>
      <c r="H206" s="93" t="n"/>
      <c r="I206" s="95" t="n"/>
      <c r="J206" s="97" t="n"/>
      <c r="K206" s="109" t="n"/>
      <c r="L206" s="39" t="n"/>
      <c r="M206" s="34" t="n"/>
      <c r="N206" s="34" t="n"/>
      <c r="O206" s="34" t="n"/>
      <c r="P206" s="131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128" t="n"/>
      <c r="C207" s="129" t="n"/>
      <c r="D207" s="130" t="n"/>
      <c r="E207" s="128" t="n"/>
      <c r="F207" s="129" t="n"/>
      <c r="G207" s="130" t="n"/>
      <c r="H207" s="128" t="n"/>
      <c r="I207" s="129" t="n"/>
      <c r="J207" s="130" t="n"/>
      <c r="K207" s="117" t="n"/>
      <c r="L207" s="46" t="n"/>
      <c r="M207" s="164" t="n"/>
      <c r="N207" s="164" t="n"/>
      <c r="O207" s="164" t="n"/>
      <c r="P207" s="133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128" t="n"/>
      <c r="C208" s="129" t="n"/>
      <c r="D208" s="130" t="n"/>
      <c r="E208" s="128" t="n"/>
      <c r="F208" s="129" t="n"/>
      <c r="G208" s="130" t="n"/>
      <c r="H208" s="128" t="n"/>
      <c r="I208" s="129" t="n"/>
      <c r="J208" s="130" t="n"/>
      <c r="K208" s="117" t="n"/>
      <c r="L208" s="46" t="n"/>
      <c r="M208" s="164" t="n"/>
      <c r="N208" s="164" t="n"/>
      <c r="O208" s="164" t="n"/>
      <c r="P208" s="133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128" t="n"/>
      <c r="C209" s="129" t="n"/>
      <c r="D209" s="130" t="n"/>
      <c r="E209" s="128" t="n"/>
      <c r="F209" s="129" t="n"/>
      <c r="G209" s="130" t="n"/>
      <c r="H209" s="128" t="n"/>
      <c r="I209" s="129" t="n"/>
      <c r="J209" s="130" t="n"/>
      <c r="K209" s="117" t="n"/>
      <c r="L209" s="46" t="n"/>
      <c r="M209" s="164" t="n"/>
      <c r="N209" s="164" t="n"/>
      <c r="O209" s="164" t="n"/>
      <c r="P209" s="133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134" t="n"/>
      <c r="C210" s="135" t="n"/>
      <c r="D210" s="136" t="n"/>
      <c r="E210" s="134" t="n"/>
      <c r="F210" s="135" t="n"/>
      <c r="G210" s="136" t="n"/>
      <c r="H210" s="134" t="n"/>
      <c r="I210" s="135" t="n"/>
      <c r="J210" s="136" t="n"/>
      <c r="K210" s="124" t="n"/>
      <c r="L210" s="54" t="n"/>
      <c r="M210" s="164" t="n"/>
      <c r="N210" s="164" t="n"/>
      <c r="O210" s="164" t="n"/>
      <c r="P210" s="133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118" t="n"/>
      <c r="C211" s="118" t="n"/>
      <c r="D211" s="119" t="n"/>
      <c r="E211" s="118" t="n"/>
      <c r="F211" s="118" t="n"/>
      <c r="G211" s="119" t="n"/>
      <c r="H211" s="118" t="n"/>
      <c r="I211" s="118" t="n"/>
      <c r="J211" s="119" t="n"/>
      <c r="K211" s="119" t="n"/>
      <c r="L211" s="54" t="n"/>
      <c r="M211" s="164" t="n"/>
      <c r="N211" s="164" t="n"/>
      <c r="O211" s="164" t="n"/>
      <c r="P211" s="133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121" t="n"/>
      <c r="C212" s="121" t="n"/>
      <c r="D212" s="64" t="n"/>
      <c r="E212" s="121" t="n"/>
      <c r="F212" s="121" t="n"/>
      <c r="G212" s="64" t="n"/>
      <c r="H212" s="121" t="n"/>
      <c r="I212" s="121" t="n"/>
      <c r="J212" s="64" t="n"/>
      <c r="K212" s="64" t="n"/>
      <c r="L212" s="65" t="n"/>
      <c r="M212" s="66" t="n"/>
      <c r="N212" s="66" t="n"/>
      <c r="O212" s="66" t="n"/>
      <c r="P212" s="138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93" t="n"/>
      <c r="C213" s="95" t="n"/>
      <c r="D213" s="97" t="n"/>
      <c r="E213" s="93" t="n"/>
      <c r="F213" s="95" t="n"/>
      <c r="G213" s="97" t="n"/>
      <c r="H213" s="93" t="n"/>
      <c r="I213" s="95" t="n"/>
      <c r="J213" s="97" t="n"/>
      <c r="K213" s="109" t="n"/>
      <c r="L213" s="39" t="n"/>
      <c r="M213" s="34" t="n"/>
      <c r="N213" s="34" t="n"/>
      <c r="O213" s="34" t="n"/>
      <c r="P213" s="131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128" t="n"/>
      <c r="C214" s="129" t="n"/>
      <c r="D214" s="130" t="n"/>
      <c r="E214" s="128" t="n"/>
      <c r="F214" s="129" t="n"/>
      <c r="G214" s="130" t="n"/>
      <c r="H214" s="128" t="n"/>
      <c r="I214" s="129" t="n"/>
      <c r="J214" s="130" t="n"/>
      <c r="K214" s="117" t="n"/>
      <c r="L214" s="46" t="n"/>
      <c r="M214" s="164" t="n"/>
      <c r="N214" s="164" t="n"/>
      <c r="O214" s="164" t="n"/>
      <c r="P214" s="133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128" t="n"/>
      <c r="C215" s="129" t="n"/>
      <c r="D215" s="130" t="n"/>
      <c r="E215" s="128" t="n"/>
      <c r="F215" s="129" t="n"/>
      <c r="G215" s="130" t="n"/>
      <c r="H215" s="128" t="n"/>
      <c r="I215" s="129" t="n"/>
      <c r="J215" s="130" t="n"/>
      <c r="K215" s="117" t="n"/>
      <c r="L215" s="46" t="n"/>
      <c r="M215" s="164" t="n"/>
      <c r="N215" s="164" t="n"/>
      <c r="O215" s="164" t="n"/>
      <c r="P215" s="133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128" t="n"/>
      <c r="C216" s="129" t="n"/>
      <c r="D216" s="130" t="n"/>
      <c r="E216" s="128" t="n"/>
      <c r="F216" s="129" t="n"/>
      <c r="G216" s="130" t="n"/>
      <c r="H216" s="128" t="n"/>
      <c r="I216" s="129" t="n"/>
      <c r="J216" s="130" t="n"/>
      <c r="K216" s="117" t="n"/>
      <c r="L216" s="46" t="n"/>
      <c r="M216" s="164" t="n"/>
      <c r="N216" s="164" t="n"/>
      <c r="O216" s="164" t="n"/>
      <c r="P216" s="133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134" t="n"/>
      <c r="C217" s="135" t="n"/>
      <c r="D217" s="136" t="n"/>
      <c r="E217" s="134" t="n"/>
      <c r="F217" s="135" t="n"/>
      <c r="G217" s="136" t="n"/>
      <c r="H217" s="134" t="n"/>
      <c r="I217" s="135" t="n"/>
      <c r="J217" s="136" t="n"/>
      <c r="K217" s="124" t="n"/>
      <c r="L217" s="54" t="n"/>
      <c r="M217" s="164" t="n"/>
      <c r="N217" s="164" t="n"/>
      <c r="O217" s="164" t="n"/>
      <c r="P217" s="133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118" t="n"/>
      <c r="C218" s="118" t="n"/>
      <c r="D218" s="119" t="n"/>
      <c r="E218" s="118" t="n"/>
      <c r="F218" s="118" t="n"/>
      <c r="G218" s="119" t="n"/>
      <c r="H218" s="118" t="n"/>
      <c r="I218" s="118" t="n"/>
      <c r="J218" s="119" t="n"/>
      <c r="K218" s="119" t="n"/>
      <c r="L218" s="54" t="n"/>
      <c r="M218" s="164" t="n"/>
      <c r="N218" s="164" t="n"/>
      <c r="O218" s="164" t="n"/>
      <c r="P218" s="133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121" t="n"/>
      <c r="C219" s="121" t="n"/>
      <c r="D219" s="64" t="n"/>
      <c r="E219" s="121" t="n"/>
      <c r="F219" s="121" t="n"/>
      <c r="G219" s="64" t="n"/>
      <c r="H219" s="121" t="n"/>
      <c r="I219" s="121" t="n"/>
      <c r="J219" s="64" t="n"/>
      <c r="K219" s="64" t="n"/>
      <c r="L219" s="65" t="n"/>
      <c r="M219" s="66" t="n"/>
      <c r="N219" s="66" t="n"/>
      <c r="O219" s="66" t="n"/>
      <c r="P219" s="138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93" t="n"/>
      <c r="C220" s="95" t="n"/>
      <c r="D220" s="97" t="n"/>
      <c r="E220" s="93" t="n"/>
      <c r="F220" s="95" t="n"/>
      <c r="G220" s="97" t="n"/>
      <c r="H220" s="93" t="n"/>
      <c r="I220" s="95" t="n"/>
      <c r="J220" s="97" t="n"/>
      <c r="K220" s="109" t="n"/>
      <c r="L220" s="39" t="n"/>
      <c r="M220" s="34" t="n"/>
      <c r="N220" s="34" t="n"/>
      <c r="O220" s="34" t="n"/>
      <c r="P220" s="131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128" t="n"/>
      <c r="C221" s="129" t="n"/>
      <c r="D221" s="130" t="n"/>
      <c r="E221" s="128" t="n"/>
      <c r="F221" s="129" t="n"/>
      <c r="G221" s="130" t="n"/>
      <c r="H221" s="128" t="n"/>
      <c r="I221" s="129" t="n"/>
      <c r="J221" s="130" t="n"/>
      <c r="K221" s="117" t="n"/>
      <c r="L221" s="46" t="n"/>
      <c r="M221" s="164" t="n"/>
      <c r="N221" s="164" t="n"/>
      <c r="O221" s="164" t="n"/>
      <c r="P221" s="133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128" t="n"/>
      <c r="C222" s="129" t="n"/>
      <c r="D222" s="130" t="n"/>
      <c r="E222" s="128" t="n"/>
      <c r="F222" s="129" t="n"/>
      <c r="G222" s="130" t="n"/>
      <c r="H222" s="128" t="n"/>
      <c r="I222" s="129" t="n"/>
      <c r="J222" s="130" t="n"/>
      <c r="K222" s="117" t="n"/>
      <c r="L222" s="46" t="n"/>
      <c r="M222" s="164" t="n"/>
      <c r="N222" s="164" t="n"/>
      <c r="O222" s="164" t="n"/>
      <c r="P222" s="133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128" t="n"/>
      <c r="C223" s="129" t="n"/>
      <c r="D223" s="130" t="n"/>
      <c r="E223" s="128" t="n"/>
      <c r="F223" s="129" t="n"/>
      <c r="G223" s="130" t="n"/>
      <c r="H223" s="128" t="n"/>
      <c r="I223" s="129" t="n"/>
      <c r="J223" s="130" t="n"/>
      <c r="K223" s="117" t="n"/>
      <c r="L223" s="46" t="n"/>
      <c r="M223" s="164" t="n"/>
      <c r="N223" s="164" t="n"/>
      <c r="O223" s="164" t="n"/>
      <c r="P223" s="133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134" t="n"/>
      <c r="C224" s="135" t="n"/>
      <c r="D224" s="136" t="n"/>
      <c r="E224" s="134" t="n"/>
      <c r="F224" s="135" t="n"/>
      <c r="G224" s="136" t="n"/>
      <c r="H224" s="134" t="n"/>
      <c r="I224" s="135" t="n"/>
      <c r="J224" s="136" t="n"/>
      <c r="K224" s="124" t="n"/>
      <c r="L224" s="54" t="n"/>
      <c r="M224" s="164" t="n"/>
      <c r="N224" s="164" t="n"/>
      <c r="O224" s="164" t="n"/>
      <c r="P224" s="133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118" t="n"/>
      <c r="C225" s="118" t="n"/>
      <c r="D225" s="119" t="n"/>
      <c r="E225" s="118" t="n"/>
      <c r="F225" s="118" t="n"/>
      <c r="G225" s="119" t="n"/>
      <c r="H225" s="118" t="n"/>
      <c r="I225" s="118" t="n"/>
      <c r="J225" s="119" t="n"/>
      <c r="K225" s="119" t="n"/>
      <c r="L225" s="54" t="n"/>
      <c r="M225" s="164" t="n"/>
      <c r="N225" s="164" t="n"/>
      <c r="O225" s="164" t="n"/>
      <c r="P225" s="133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121" t="n"/>
      <c r="C226" s="121" t="n"/>
      <c r="D226" s="64" t="n"/>
      <c r="E226" s="121" t="n"/>
      <c r="F226" s="121" t="n"/>
      <c r="G226" s="64" t="n"/>
      <c r="H226" s="121" t="n"/>
      <c r="I226" s="121" t="n"/>
      <c r="J226" s="64" t="n"/>
      <c r="K226" s="64" t="n"/>
      <c r="L226" s="65" t="n"/>
      <c r="M226" s="66" t="n"/>
      <c r="N226" s="66" t="n"/>
      <c r="O226" s="66" t="n"/>
      <c r="P226" s="138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93" t="n"/>
      <c r="C227" s="95" t="n"/>
      <c r="D227" s="97" t="n"/>
      <c r="E227" s="93" t="n"/>
      <c r="F227" s="95" t="n"/>
      <c r="G227" s="97" t="n"/>
      <c r="H227" s="93" t="n"/>
      <c r="I227" s="95" t="n"/>
      <c r="J227" s="97" t="n"/>
      <c r="K227" s="109" t="n"/>
      <c r="L227" s="39" t="n"/>
      <c r="M227" s="34" t="n"/>
      <c r="N227" s="34" t="n"/>
      <c r="O227" s="34" t="n"/>
      <c r="P227" s="131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128" t="n"/>
      <c r="C228" s="129" t="n"/>
      <c r="D228" s="130" t="n"/>
      <c r="E228" s="128" t="n"/>
      <c r="F228" s="129" t="n"/>
      <c r="G228" s="130" t="n"/>
      <c r="H228" s="128" t="n"/>
      <c r="I228" s="129" t="n"/>
      <c r="J228" s="130" t="n"/>
      <c r="K228" s="117" t="n"/>
      <c r="L228" s="46" t="n"/>
      <c r="M228" s="164" t="n"/>
      <c r="N228" s="164" t="n"/>
      <c r="O228" s="164" t="n"/>
      <c r="P228" s="133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128" t="n"/>
      <c r="C229" s="129" t="n"/>
      <c r="D229" s="130" t="n"/>
      <c r="E229" s="128" t="n"/>
      <c r="F229" s="129" t="n"/>
      <c r="G229" s="130" t="n"/>
      <c r="H229" s="128" t="n"/>
      <c r="I229" s="129" t="n"/>
      <c r="J229" s="130" t="n"/>
      <c r="K229" s="117" t="n"/>
      <c r="L229" s="46" t="n"/>
      <c r="M229" s="164" t="n"/>
      <c r="N229" s="164" t="n"/>
      <c r="O229" s="164" t="n"/>
      <c r="P229" s="133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128" t="n"/>
      <c r="C230" s="129" t="n"/>
      <c r="D230" s="130" t="n"/>
      <c r="E230" s="128" t="n"/>
      <c r="F230" s="129" t="n"/>
      <c r="G230" s="130" t="n"/>
      <c r="H230" s="128" t="n"/>
      <c r="I230" s="129" t="n"/>
      <c r="J230" s="130" t="n"/>
      <c r="K230" s="117" t="n"/>
      <c r="L230" s="46" t="n"/>
      <c r="M230" s="164" t="n"/>
      <c r="N230" s="164" t="n"/>
      <c r="O230" s="164" t="n"/>
      <c r="P230" s="133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134" t="n"/>
      <c r="C231" s="135" t="n"/>
      <c r="D231" s="136" t="n"/>
      <c r="E231" s="134" t="n"/>
      <c r="F231" s="135" t="n"/>
      <c r="G231" s="136" t="n"/>
      <c r="H231" s="134" t="n"/>
      <c r="I231" s="135" t="n"/>
      <c r="J231" s="136" t="n"/>
      <c r="K231" s="124" t="n"/>
      <c r="L231" s="54" t="n"/>
      <c r="M231" s="164" t="n"/>
      <c r="N231" s="164" t="n"/>
      <c r="O231" s="164" t="n"/>
      <c r="P231" s="133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118" t="n"/>
      <c r="C232" s="118" t="n"/>
      <c r="D232" s="119" t="n"/>
      <c r="E232" s="118" t="n"/>
      <c r="F232" s="118" t="n"/>
      <c r="G232" s="119" t="n"/>
      <c r="H232" s="118" t="n"/>
      <c r="I232" s="118" t="n"/>
      <c r="J232" s="119" t="n"/>
      <c r="K232" s="119" t="n"/>
      <c r="L232" s="54" t="n"/>
      <c r="M232" s="164" t="n"/>
      <c r="N232" s="164" t="n"/>
      <c r="O232" s="164" t="n"/>
      <c r="P232" s="133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121" t="n"/>
      <c r="C233" s="121" t="n"/>
      <c r="D233" s="64" t="n"/>
      <c r="E233" s="121" t="n"/>
      <c r="F233" s="121" t="n"/>
      <c r="G233" s="64" t="n"/>
      <c r="H233" s="121" t="n"/>
      <c r="I233" s="121" t="n"/>
      <c r="J233" s="64" t="n"/>
      <c r="K233" s="64" t="n"/>
      <c r="L233" s="65" t="n"/>
      <c r="M233" s="66" t="n"/>
      <c r="N233" s="66" t="n"/>
      <c r="O233" s="66" t="n"/>
      <c r="P233" s="138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93" t="n"/>
      <c r="C234" s="95" t="n"/>
      <c r="D234" s="97" t="n"/>
      <c r="E234" s="93" t="n"/>
      <c r="F234" s="95" t="n"/>
      <c r="G234" s="97" t="n"/>
      <c r="H234" s="93" t="n"/>
      <c r="I234" s="95" t="n"/>
      <c r="J234" s="97" t="n"/>
      <c r="K234" s="109" t="n"/>
      <c r="L234" s="39" t="n"/>
      <c r="M234" s="34" t="n"/>
      <c r="N234" s="34" t="n"/>
      <c r="O234" s="34" t="n"/>
      <c r="P234" s="131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128" t="n"/>
      <c r="C235" s="129" t="n"/>
      <c r="D235" s="130" t="n"/>
      <c r="E235" s="128" t="n"/>
      <c r="F235" s="129" t="n"/>
      <c r="G235" s="130" t="n"/>
      <c r="H235" s="128" t="n"/>
      <c r="I235" s="129" t="n"/>
      <c r="J235" s="130" t="n"/>
      <c r="K235" s="117" t="n"/>
      <c r="L235" s="46" t="n"/>
      <c r="M235" s="164" t="n"/>
      <c r="N235" s="164" t="n"/>
      <c r="O235" s="164" t="n"/>
      <c r="P235" s="133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128" t="n"/>
      <c r="C236" s="129" t="n"/>
      <c r="D236" s="130" t="n"/>
      <c r="E236" s="128" t="n"/>
      <c r="F236" s="129" t="n"/>
      <c r="G236" s="130" t="n"/>
      <c r="H236" s="128" t="n"/>
      <c r="I236" s="129" t="n"/>
      <c r="J236" s="130" t="n"/>
      <c r="K236" s="117" t="n"/>
      <c r="L236" s="46" t="n"/>
      <c r="M236" s="164" t="n"/>
      <c r="N236" s="164" t="n"/>
      <c r="O236" s="164" t="n"/>
      <c r="P236" s="133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128" t="n"/>
      <c r="C237" s="129" t="n"/>
      <c r="D237" s="130" t="n"/>
      <c r="E237" s="128" t="n"/>
      <c r="F237" s="129" t="n"/>
      <c r="G237" s="130" t="n"/>
      <c r="H237" s="128" t="n"/>
      <c r="I237" s="129" t="n"/>
      <c r="J237" s="130" t="n"/>
      <c r="K237" s="117" t="n"/>
      <c r="L237" s="46" t="n"/>
      <c r="M237" s="164" t="n"/>
      <c r="N237" s="164" t="n"/>
      <c r="O237" s="164" t="n"/>
      <c r="P237" s="133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134" t="n"/>
      <c r="C238" s="135" t="n"/>
      <c r="D238" s="136" t="n"/>
      <c r="E238" s="134" t="n"/>
      <c r="F238" s="135" t="n"/>
      <c r="G238" s="136" t="n"/>
      <c r="H238" s="134" t="n"/>
      <c r="I238" s="135" t="n"/>
      <c r="J238" s="136" t="n"/>
      <c r="K238" s="124" t="n"/>
      <c r="L238" s="54" t="n"/>
      <c r="M238" s="164" t="n"/>
      <c r="N238" s="164" t="n"/>
      <c r="O238" s="164" t="n"/>
      <c r="P238" s="133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118" t="n"/>
      <c r="C239" s="118" t="n"/>
      <c r="D239" s="119" t="n"/>
      <c r="E239" s="118" t="n"/>
      <c r="F239" s="118" t="n"/>
      <c r="G239" s="119" t="n"/>
      <c r="H239" s="118" t="n"/>
      <c r="I239" s="118" t="n"/>
      <c r="J239" s="119" t="n"/>
      <c r="K239" s="119" t="n"/>
      <c r="L239" s="54" t="n"/>
      <c r="M239" s="164" t="n"/>
      <c r="N239" s="164" t="n"/>
      <c r="O239" s="164" t="n"/>
      <c r="P239" s="133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121" t="n"/>
      <c r="C240" s="121" t="n"/>
      <c r="D240" s="64" t="n"/>
      <c r="E240" s="121" t="n"/>
      <c r="F240" s="121" t="n"/>
      <c r="G240" s="64" t="n"/>
      <c r="H240" s="121" t="n"/>
      <c r="I240" s="121" t="n"/>
      <c r="J240" s="64" t="n"/>
      <c r="K240" s="64" t="n"/>
      <c r="L240" s="65" t="n"/>
      <c r="M240" s="66" t="n"/>
      <c r="N240" s="66" t="n"/>
      <c r="O240" s="66" t="n"/>
      <c r="P240" s="138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93" t="n"/>
      <c r="C241" s="95" t="n"/>
      <c r="D241" s="97" t="n"/>
      <c r="E241" s="93" t="n"/>
      <c r="F241" s="95" t="n"/>
      <c r="G241" s="97" t="n"/>
      <c r="H241" s="93" t="n"/>
      <c r="I241" s="95" t="n"/>
      <c r="J241" s="97" t="n"/>
      <c r="K241" s="109" t="n"/>
      <c r="L241" s="39" t="n"/>
      <c r="M241" s="34" t="n"/>
      <c r="N241" s="34" t="n"/>
      <c r="O241" s="34" t="n"/>
      <c r="P241" s="131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128" t="n"/>
      <c r="C242" s="129" t="n"/>
      <c r="D242" s="130" t="n"/>
      <c r="E242" s="128" t="n"/>
      <c r="F242" s="129" t="n"/>
      <c r="G242" s="130" t="n"/>
      <c r="H242" s="128" t="n"/>
      <c r="I242" s="129" t="n"/>
      <c r="J242" s="130" t="n"/>
      <c r="K242" s="117" t="n"/>
      <c r="L242" s="46" t="n"/>
      <c r="M242" s="164" t="n"/>
      <c r="N242" s="164" t="n"/>
      <c r="O242" s="164" t="n"/>
      <c r="P242" s="133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128" t="n"/>
      <c r="C243" s="129" t="n"/>
      <c r="D243" s="130" t="n"/>
      <c r="E243" s="128" t="n"/>
      <c r="F243" s="129" t="n"/>
      <c r="G243" s="130" t="n"/>
      <c r="H243" s="128" t="n"/>
      <c r="I243" s="129" t="n"/>
      <c r="J243" s="130" t="n"/>
      <c r="K243" s="117" t="n"/>
      <c r="L243" s="46" t="n"/>
      <c r="M243" s="164" t="n"/>
      <c r="N243" s="164" t="n"/>
      <c r="O243" s="164" t="n"/>
      <c r="P243" s="133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128" t="n"/>
      <c r="C244" s="129" t="n"/>
      <c r="D244" s="130" t="n"/>
      <c r="E244" s="128" t="n"/>
      <c r="F244" s="129" t="n"/>
      <c r="G244" s="130" t="n"/>
      <c r="H244" s="128" t="n"/>
      <c r="I244" s="129" t="n"/>
      <c r="J244" s="130" t="n"/>
      <c r="K244" s="117" t="n"/>
      <c r="L244" s="46" t="n"/>
      <c r="M244" s="164" t="n"/>
      <c r="N244" s="164" t="n"/>
      <c r="O244" s="164" t="n"/>
      <c r="P244" s="133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134" t="n"/>
      <c r="C245" s="135" t="n"/>
      <c r="D245" s="136" t="n"/>
      <c r="E245" s="134" t="n"/>
      <c r="F245" s="135" t="n"/>
      <c r="G245" s="136" t="n"/>
      <c r="H245" s="134" t="n"/>
      <c r="I245" s="135" t="n"/>
      <c r="J245" s="136" t="n"/>
      <c r="K245" s="124" t="n"/>
      <c r="L245" s="54" t="n"/>
      <c r="M245" s="164" t="n"/>
      <c r="N245" s="164" t="n"/>
      <c r="O245" s="164" t="n"/>
      <c r="P245" s="133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118" t="n"/>
      <c r="C246" s="118" t="n"/>
      <c r="D246" s="119" t="n"/>
      <c r="E246" s="118" t="n"/>
      <c r="F246" s="118" t="n"/>
      <c r="G246" s="119" t="n"/>
      <c r="H246" s="118" t="n"/>
      <c r="I246" s="118" t="n"/>
      <c r="J246" s="119" t="n"/>
      <c r="K246" s="119" t="n"/>
      <c r="L246" s="54" t="n"/>
      <c r="M246" s="164" t="n"/>
      <c r="N246" s="164" t="n"/>
      <c r="O246" s="164" t="n"/>
      <c r="P246" s="133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121" t="n"/>
      <c r="C247" s="121" t="n"/>
      <c r="D247" s="64" t="n"/>
      <c r="E247" s="121" t="n"/>
      <c r="F247" s="121" t="n"/>
      <c r="G247" s="64" t="n"/>
      <c r="H247" s="121" t="n"/>
      <c r="I247" s="121" t="n"/>
      <c r="J247" s="64" t="n"/>
      <c r="K247" s="64" t="n"/>
      <c r="L247" s="65" t="n"/>
      <c r="M247" s="66" t="n"/>
      <c r="N247" s="66" t="n"/>
      <c r="O247" s="66" t="n"/>
      <c r="P247" s="138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93" t="n"/>
      <c r="C248" s="95" t="n"/>
      <c r="D248" s="97" t="n"/>
      <c r="E248" s="93" t="n"/>
      <c r="F248" s="95" t="n"/>
      <c r="G248" s="97" t="n"/>
      <c r="H248" s="93" t="n"/>
      <c r="I248" s="95" t="n"/>
      <c r="J248" s="97" t="n"/>
      <c r="K248" s="109" t="n"/>
      <c r="L248" s="39" t="n"/>
      <c r="M248" s="34" t="n"/>
      <c r="N248" s="34" t="n"/>
      <c r="O248" s="34" t="n"/>
      <c r="P248" s="131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128" t="n"/>
      <c r="C249" s="129" t="n"/>
      <c r="D249" s="130" t="n"/>
      <c r="E249" s="128" t="n"/>
      <c r="F249" s="129" t="n"/>
      <c r="G249" s="130" t="n"/>
      <c r="H249" s="128" t="n"/>
      <c r="I249" s="129" t="n"/>
      <c r="J249" s="130" t="n"/>
      <c r="K249" s="117" t="n"/>
      <c r="L249" s="46" t="n"/>
      <c r="M249" s="164" t="n"/>
      <c r="N249" s="164" t="n"/>
      <c r="O249" s="164" t="n"/>
      <c r="P249" s="133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128" t="n"/>
      <c r="C250" s="129" t="n"/>
      <c r="D250" s="130" t="n"/>
      <c r="E250" s="128" t="n"/>
      <c r="F250" s="129" t="n"/>
      <c r="G250" s="130" t="n"/>
      <c r="H250" s="128" t="n"/>
      <c r="I250" s="129" t="n"/>
      <c r="J250" s="130" t="n"/>
      <c r="K250" s="117" t="n"/>
      <c r="L250" s="46" t="n"/>
      <c r="M250" s="164" t="n"/>
      <c r="N250" s="164" t="n"/>
      <c r="O250" s="164" t="n"/>
      <c r="P250" s="133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128" t="n"/>
      <c r="C251" s="129" t="n"/>
      <c r="D251" s="130" t="n"/>
      <c r="E251" s="128" t="n"/>
      <c r="F251" s="129" t="n"/>
      <c r="G251" s="130" t="n"/>
      <c r="H251" s="128" t="n"/>
      <c r="I251" s="129" t="n"/>
      <c r="J251" s="130" t="n"/>
      <c r="K251" s="117" t="n"/>
      <c r="L251" s="46" t="n"/>
      <c r="M251" s="164" t="n"/>
      <c r="N251" s="164" t="n"/>
      <c r="O251" s="164" t="n"/>
      <c r="P251" s="133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134" t="n"/>
      <c r="C252" s="135" t="n"/>
      <c r="D252" s="136" t="n"/>
      <c r="E252" s="134" t="n"/>
      <c r="F252" s="135" t="n"/>
      <c r="G252" s="136" t="n"/>
      <c r="H252" s="134" t="n"/>
      <c r="I252" s="135" t="n"/>
      <c r="J252" s="136" t="n"/>
      <c r="K252" s="124" t="n"/>
      <c r="L252" s="54" t="n"/>
      <c r="M252" s="164" t="n"/>
      <c r="N252" s="164" t="n"/>
      <c r="O252" s="164" t="n"/>
      <c r="P252" s="133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118" t="n"/>
      <c r="C253" s="118" t="n"/>
      <c r="D253" s="119" t="n"/>
      <c r="E253" s="118" t="n"/>
      <c r="F253" s="118" t="n"/>
      <c r="G253" s="119" t="n"/>
      <c r="H253" s="118" t="n"/>
      <c r="I253" s="118" t="n"/>
      <c r="J253" s="119" t="n"/>
      <c r="K253" s="119" t="n"/>
      <c r="L253" s="54" t="n"/>
      <c r="M253" s="164" t="n"/>
      <c r="N253" s="164" t="n"/>
      <c r="O253" s="164" t="n"/>
      <c r="P253" s="133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121" t="n"/>
      <c r="C254" s="121" t="n"/>
      <c r="D254" s="64" t="n"/>
      <c r="E254" s="121" t="n"/>
      <c r="F254" s="121" t="n"/>
      <c r="G254" s="64" t="n"/>
      <c r="H254" s="121" t="n"/>
      <c r="I254" s="121" t="n"/>
      <c r="J254" s="64" t="n"/>
      <c r="K254" s="64" t="n"/>
      <c r="L254" s="65" t="n"/>
      <c r="M254" s="66" t="n"/>
      <c r="N254" s="66" t="n"/>
      <c r="O254" s="66" t="n"/>
      <c r="P254" s="138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93" t="n"/>
      <c r="C255" s="95" t="n"/>
      <c r="D255" s="97" t="n"/>
      <c r="E255" s="93" t="n"/>
      <c r="F255" s="95" t="n"/>
      <c r="G255" s="97" t="n"/>
      <c r="H255" s="93" t="n"/>
      <c r="I255" s="95" t="n"/>
      <c r="J255" s="97" t="n"/>
      <c r="K255" s="109" t="n"/>
      <c r="L255" s="39" t="n"/>
      <c r="M255" s="34" t="n"/>
      <c r="N255" s="34" t="n"/>
      <c r="O255" s="34" t="n"/>
      <c r="P255" s="131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128" t="n"/>
      <c r="C256" s="129" t="n"/>
      <c r="D256" s="130" t="n"/>
      <c r="E256" s="128" t="n"/>
      <c r="F256" s="129" t="n"/>
      <c r="G256" s="130" t="n"/>
      <c r="H256" s="128" t="n"/>
      <c r="I256" s="129" t="n"/>
      <c r="J256" s="130" t="n"/>
      <c r="K256" s="117" t="n"/>
      <c r="L256" s="46" t="n"/>
      <c r="M256" s="164" t="n"/>
      <c r="N256" s="164" t="n"/>
      <c r="O256" s="164" t="n"/>
      <c r="P256" s="133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128" t="n"/>
      <c r="C257" s="129" t="n"/>
      <c r="D257" s="130" t="n"/>
      <c r="E257" s="128" t="n"/>
      <c r="F257" s="129" t="n"/>
      <c r="G257" s="130" t="n"/>
      <c r="H257" s="128" t="n"/>
      <c r="I257" s="129" t="n"/>
      <c r="J257" s="130" t="n"/>
      <c r="K257" s="117" t="n"/>
      <c r="L257" s="46" t="n"/>
      <c r="M257" s="164" t="n"/>
      <c r="N257" s="164" t="n"/>
      <c r="O257" s="164" t="n"/>
      <c r="P257" s="133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128" t="n"/>
      <c r="C258" s="129" t="n"/>
      <c r="D258" s="130" t="n"/>
      <c r="E258" s="128" t="n"/>
      <c r="F258" s="129" t="n"/>
      <c r="G258" s="130" t="n"/>
      <c r="H258" s="128" t="n"/>
      <c r="I258" s="129" t="n"/>
      <c r="J258" s="130" t="n"/>
      <c r="K258" s="117" t="n"/>
      <c r="L258" s="46" t="n"/>
      <c r="M258" s="164" t="n"/>
      <c r="N258" s="164" t="n"/>
      <c r="O258" s="164" t="n"/>
      <c r="P258" s="133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134" t="n"/>
      <c r="C259" s="135" t="n"/>
      <c r="D259" s="136" t="n"/>
      <c r="E259" s="134" t="n"/>
      <c r="F259" s="135" t="n"/>
      <c r="G259" s="136" t="n"/>
      <c r="H259" s="134" t="n"/>
      <c r="I259" s="135" t="n"/>
      <c r="J259" s="136" t="n"/>
      <c r="K259" s="124" t="n"/>
      <c r="L259" s="54" t="n"/>
      <c r="M259" s="164" t="n"/>
      <c r="N259" s="164" t="n"/>
      <c r="O259" s="164" t="n"/>
      <c r="P259" s="133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118" t="n"/>
      <c r="C260" s="118" t="n"/>
      <c r="D260" s="119" t="n"/>
      <c r="E260" s="118" t="n"/>
      <c r="F260" s="118" t="n"/>
      <c r="G260" s="119" t="n"/>
      <c r="H260" s="118" t="n"/>
      <c r="I260" s="118" t="n"/>
      <c r="J260" s="119" t="n"/>
      <c r="K260" s="119" t="n"/>
      <c r="L260" s="54" t="n"/>
      <c r="M260" s="164" t="n"/>
      <c r="N260" s="164" t="n"/>
      <c r="O260" s="164" t="n"/>
      <c r="P260" s="133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121" t="n"/>
      <c r="C261" s="121" t="n"/>
      <c r="D261" s="64" t="n"/>
      <c r="E261" s="121" t="n"/>
      <c r="F261" s="121" t="n"/>
      <c r="G261" s="64" t="n"/>
      <c r="H261" s="121" t="n"/>
      <c r="I261" s="121" t="n"/>
      <c r="J261" s="64" t="n"/>
      <c r="K261" s="64" t="n"/>
      <c r="L261" s="65" t="n"/>
      <c r="M261" s="66" t="n"/>
      <c r="N261" s="66" t="n"/>
      <c r="O261" s="66" t="n"/>
      <c r="P261" s="138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93" t="n"/>
      <c r="C262" s="95" t="n"/>
      <c r="D262" s="97" t="n"/>
      <c r="E262" s="93" t="n"/>
      <c r="F262" s="95" t="n"/>
      <c r="G262" s="97" t="n"/>
      <c r="H262" s="93" t="n"/>
      <c r="I262" s="95" t="n"/>
      <c r="J262" s="97" t="n"/>
      <c r="K262" s="109" t="n"/>
      <c r="L262" s="39" t="n"/>
      <c r="M262" s="34" t="n"/>
      <c r="N262" s="34" t="n"/>
      <c r="O262" s="34" t="n"/>
      <c r="P262" s="131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128" t="n"/>
      <c r="C263" s="129" t="n"/>
      <c r="D263" s="130" t="n"/>
      <c r="E263" s="128" t="n"/>
      <c r="F263" s="129" t="n"/>
      <c r="G263" s="130" t="n"/>
      <c r="H263" s="128" t="n"/>
      <c r="I263" s="129" t="n"/>
      <c r="J263" s="130" t="n"/>
      <c r="K263" s="117" t="n"/>
      <c r="L263" s="46" t="n"/>
      <c r="M263" s="164" t="n"/>
      <c r="N263" s="164" t="n"/>
      <c r="O263" s="164" t="n"/>
      <c r="P263" s="133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128" t="n"/>
      <c r="C264" s="129" t="n"/>
      <c r="D264" s="130" t="n"/>
      <c r="E264" s="128" t="n"/>
      <c r="F264" s="129" t="n"/>
      <c r="G264" s="130" t="n"/>
      <c r="H264" s="128" t="n"/>
      <c r="I264" s="129" t="n"/>
      <c r="J264" s="130" t="n"/>
      <c r="K264" s="117" t="n"/>
      <c r="L264" s="46" t="n"/>
      <c r="M264" s="164" t="n"/>
      <c r="N264" s="164" t="n"/>
      <c r="O264" s="164" t="n"/>
      <c r="P264" s="133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128" t="n"/>
      <c r="C265" s="129" t="n"/>
      <c r="D265" s="130" t="n"/>
      <c r="E265" s="128" t="n"/>
      <c r="F265" s="129" t="n"/>
      <c r="G265" s="130" t="n"/>
      <c r="H265" s="128" t="n"/>
      <c r="I265" s="129" t="n"/>
      <c r="J265" s="130" t="n"/>
      <c r="K265" s="117" t="n"/>
      <c r="L265" s="46" t="n"/>
      <c r="M265" s="164" t="n"/>
      <c r="N265" s="164" t="n"/>
      <c r="O265" s="164" t="n"/>
      <c r="P265" s="133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134" t="n"/>
      <c r="C266" s="135" t="n"/>
      <c r="D266" s="136" t="n"/>
      <c r="E266" s="134" t="n"/>
      <c r="F266" s="135" t="n"/>
      <c r="G266" s="136" t="n"/>
      <c r="H266" s="134" t="n"/>
      <c r="I266" s="135" t="n"/>
      <c r="J266" s="136" t="n"/>
      <c r="K266" s="124" t="n"/>
      <c r="L266" s="54" t="n"/>
      <c r="M266" s="164" t="n"/>
      <c r="N266" s="164" t="n"/>
      <c r="O266" s="164" t="n"/>
      <c r="P266" s="133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118" t="n"/>
      <c r="C267" s="118" t="n"/>
      <c r="D267" s="119" t="n"/>
      <c r="E267" s="118" t="n"/>
      <c r="F267" s="118" t="n"/>
      <c r="G267" s="119" t="n"/>
      <c r="H267" s="118" t="n"/>
      <c r="I267" s="118" t="n"/>
      <c r="J267" s="119" t="n"/>
      <c r="K267" s="119" t="n"/>
      <c r="L267" s="54" t="n"/>
      <c r="M267" s="164" t="n"/>
      <c r="N267" s="164" t="n"/>
      <c r="O267" s="164" t="n"/>
      <c r="P267" s="133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121" t="n"/>
      <c r="C268" s="121" t="n"/>
      <c r="D268" s="64" t="n"/>
      <c r="E268" s="121" t="n"/>
      <c r="F268" s="121" t="n"/>
      <c r="G268" s="64" t="n"/>
      <c r="H268" s="121" t="n"/>
      <c r="I268" s="121" t="n"/>
      <c r="J268" s="64" t="n"/>
      <c r="K268" s="64" t="n"/>
      <c r="L268" s="65" t="n"/>
      <c r="M268" s="66" t="n"/>
      <c r="N268" s="66" t="n"/>
      <c r="O268" s="66" t="n"/>
      <c r="P268" s="138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93" t="n"/>
      <c r="C269" s="95" t="n"/>
      <c r="D269" s="97" t="n"/>
      <c r="E269" s="93" t="n"/>
      <c r="F269" s="95" t="n"/>
      <c r="G269" s="97" t="n"/>
      <c r="H269" s="93" t="n"/>
      <c r="I269" s="95" t="n"/>
      <c r="J269" s="97" t="n"/>
      <c r="K269" s="109" t="n"/>
      <c r="L269" s="39" t="n"/>
      <c r="M269" s="34" t="n"/>
      <c r="N269" s="34" t="n"/>
      <c r="O269" s="34" t="n"/>
      <c r="P269" s="131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128" t="n"/>
      <c r="C270" s="129" t="n"/>
      <c r="D270" s="130" t="n"/>
      <c r="E270" s="128" t="n"/>
      <c r="F270" s="129" t="n"/>
      <c r="G270" s="130" t="n"/>
      <c r="H270" s="128" t="n"/>
      <c r="I270" s="129" t="n"/>
      <c r="J270" s="130" t="n"/>
      <c r="K270" s="117" t="n"/>
      <c r="L270" s="46" t="n"/>
      <c r="M270" s="164" t="n"/>
      <c r="N270" s="164" t="n"/>
      <c r="O270" s="164" t="n"/>
      <c r="P270" s="133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128" t="n"/>
      <c r="C271" s="129" t="n"/>
      <c r="D271" s="130" t="n"/>
      <c r="E271" s="128" t="n"/>
      <c r="F271" s="129" t="n"/>
      <c r="G271" s="130" t="n"/>
      <c r="H271" s="128" t="n"/>
      <c r="I271" s="129" t="n"/>
      <c r="J271" s="130" t="n"/>
      <c r="K271" s="117" t="n"/>
      <c r="L271" s="46" t="n"/>
      <c r="M271" s="164" t="n"/>
      <c r="N271" s="164" t="n"/>
      <c r="O271" s="164" t="n"/>
      <c r="P271" s="133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128" t="n"/>
      <c r="C272" s="129" t="n"/>
      <c r="D272" s="130" t="n"/>
      <c r="E272" s="128" t="n"/>
      <c r="F272" s="129" t="n"/>
      <c r="G272" s="130" t="n"/>
      <c r="H272" s="128" t="n"/>
      <c r="I272" s="129" t="n"/>
      <c r="J272" s="130" t="n"/>
      <c r="K272" s="117" t="n"/>
      <c r="L272" s="46" t="n"/>
      <c r="M272" s="164" t="n"/>
      <c r="N272" s="164" t="n"/>
      <c r="O272" s="164" t="n"/>
      <c r="P272" s="133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134" t="n"/>
      <c r="C273" s="135" t="n"/>
      <c r="D273" s="136" t="n"/>
      <c r="E273" s="134" t="n"/>
      <c r="F273" s="135" t="n"/>
      <c r="G273" s="136" t="n"/>
      <c r="H273" s="134" t="n"/>
      <c r="I273" s="135" t="n"/>
      <c r="J273" s="136" t="n"/>
      <c r="K273" s="124" t="n"/>
      <c r="L273" s="54" t="n"/>
      <c r="M273" s="164" t="n"/>
      <c r="N273" s="164" t="n"/>
      <c r="O273" s="164" t="n"/>
      <c r="P273" s="133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118" t="n"/>
      <c r="C274" s="118" t="n"/>
      <c r="D274" s="119" t="n"/>
      <c r="E274" s="118" t="n"/>
      <c r="F274" s="118" t="n"/>
      <c r="G274" s="119" t="n"/>
      <c r="H274" s="118" t="n"/>
      <c r="I274" s="118" t="n"/>
      <c r="J274" s="119" t="n"/>
      <c r="K274" s="119" t="n"/>
      <c r="L274" s="54" t="n"/>
      <c r="M274" s="164" t="n"/>
      <c r="N274" s="164" t="n"/>
      <c r="O274" s="164" t="n"/>
      <c r="P274" s="133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121" t="n"/>
      <c r="C275" s="121" t="n"/>
      <c r="D275" s="64" t="n"/>
      <c r="E275" s="121" t="n"/>
      <c r="F275" s="121" t="n"/>
      <c r="G275" s="64" t="n"/>
      <c r="H275" s="121" t="n"/>
      <c r="I275" s="121" t="n"/>
      <c r="J275" s="64" t="n"/>
      <c r="K275" s="64" t="n"/>
      <c r="L275" s="65" t="n"/>
      <c r="M275" s="66" t="n"/>
      <c r="N275" s="66" t="n"/>
      <c r="O275" s="66" t="n"/>
      <c r="P275" s="138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93" t="n"/>
      <c r="C276" s="95" t="n"/>
      <c r="D276" s="97" t="n"/>
      <c r="E276" s="93" t="n"/>
      <c r="F276" s="95" t="n"/>
      <c r="G276" s="97" t="n"/>
      <c r="H276" s="93" t="n"/>
      <c r="I276" s="95" t="n"/>
      <c r="J276" s="97" t="n"/>
      <c r="K276" s="109" t="n"/>
      <c r="L276" s="39" t="n"/>
      <c r="M276" s="34" t="n"/>
      <c r="N276" s="34" t="n"/>
      <c r="O276" s="34" t="n"/>
      <c r="P276" s="131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128" t="n"/>
      <c r="C277" s="129" t="n"/>
      <c r="D277" s="130" t="n"/>
      <c r="E277" s="128" t="n"/>
      <c r="F277" s="129" t="n"/>
      <c r="G277" s="130" t="n"/>
      <c r="H277" s="128" t="n"/>
      <c r="I277" s="129" t="n"/>
      <c r="J277" s="130" t="n"/>
      <c r="K277" s="117" t="n"/>
      <c r="L277" s="46" t="n"/>
      <c r="M277" s="164" t="n"/>
      <c r="N277" s="164" t="n"/>
      <c r="O277" s="164" t="n"/>
      <c r="P277" s="133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128" t="n"/>
      <c r="C278" s="129" t="n"/>
      <c r="D278" s="130" t="n"/>
      <c r="E278" s="128" t="n"/>
      <c r="F278" s="129" t="n"/>
      <c r="G278" s="130" t="n"/>
      <c r="H278" s="128" t="n"/>
      <c r="I278" s="129" t="n"/>
      <c r="J278" s="130" t="n"/>
      <c r="K278" s="117" t="n"/>
      <c r="L278" s="46" t="n"/>
      <c r="M278" s="164" t="n"/>
      <c r="N278" s="164" t="n"/>
      <c r="O278" s="164" t="n"/>
      <c r="P278" s="133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128" t="n"/>
      <c r="C279" s="129" t="n"/>
      <c r="D279" s="130" t="n"/>
      <c r="E279" s="128" t="n"/>
      <c r="F279" s="129" t="n"/>
      <c r="G279" s="130" t="n"/>
      <c r="H279" s="128" t="n"/>
      <c r="I279" s="129" t="n"/>
      <c r="J279" s="130" t="n"/>
      <c r="K279" s="117" t="n"/>
      <c r="L279" s="46" t="n"/>
      <c r="M279" s="164" t="n"/>
      <c r="N279" s="164" t="n"/>
      <c r="O279" s="164" t="n"/>
      <c r="P279" s="133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134" t="n"/>
      <c r="C280" s="135" t="n"/>
      <c r="D280" s="136" t="n"/>
      <c r="E280" s="134" t="n"/>
      <c r="F280" s="135" t="n"/>
      <c r="G280" s="136" t="n"/>
      <c r="H280" s="134" t="n"/>
      <c r="I280" s="135" t="n"/>
      <c r="J280" s="136" t="n"/>
      <c r="K280" s="124" t="n"/>
      <c r="L280" s="54" t="n"/>
      <c r="M280" s="164" t="n"/>
      <c r="N280" s="164" t="n"/>
      <c r="O280" s="164" t="n"/>
      <c r="P280" s="133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118" t="n"/>
      <c r="C281" s="118" t="n"/>
      <c r="D281" s="119" t="n"/>
      <c r="E281" s="118" t="n"/>
      <c r="F281" s="118" t="n"/>
      <c r="G281" s="119" t="n"/>
      <c r="H281" s="118" t="n"/>
      <c r="I281" s="118" t="n"/>
      <c r="J281" s="119" t="n"/>
      <c r="K281" s="119" t="n"/>
      <c r="L281" s="54" t="n"/>
      <c r="M281" s="164" t="n"/>
      <c r="N281" s="164" t="n"/>
      <c r="O281" s="164" t="n"/>
      <c r="P281" s="133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121" t="n"/>
      <c r="C282" s="121" t="n"/>
      <c r="D282" s="64" t="n"/>
      <c r="E282" s="121" t="n"/>
      <c r="F282" s="121" t="n"/>
      <c r="G282" s="64" t="n"/>
      <c r="H282" s="121" t="n"/>
      <c r="I282" s="121" t="n"/>
      <c r="J282" s="64" t="n"/>
      <c r="K282" s="64" t="n"/>
      <c r="L282" s="65" t="n"/>
      <c r="M282" s="66" t="n"/>
      <c r="N282" s="66" t="n"/>
      <c r="O282" s="66" t="n"/>
      <c r="P282" s="138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93" t="n"/>
      <c r="C283" s="95" t="n"/>
      <c r="D283" s="97" t="n"/>
      <c r="E283" s="93" t="n"/>
      <c r="F283" s="95" t="n"/>
      <c r="G283" s="97" t="n"/>
      <c r="H283" s="93" t="n"/>
      <c r="I283" s="95" t="n"/>
      <c r="J283" s="97" t="n"/>
      <c r="K283" s="109" t="n"/>
      <c r="L283" s="39" t="n"/>
      <c r="M283" s="34" t="n"/>
      <c r="N283" s="34" t="n"/>
      <c r="O283" s="34" t="n"/>
      <c r="P283" s="131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128" t="n"/>
      <c r="C284" s="129" t="n"/>
      <c r="D284" s="130" t="n"/>
      <c r="E284" s="128" t="n"/>
      <c r="F284" s="129" t="n"/>
      <c r="G284" s="130" t="n"/>
      <c r="H284" s="128" t="n"/>
      <c r="I284" s="129" t="n"/>
      <c r="J284" s="130" t="n"/>
      <c r="K284" s="117" t="n"/>
      <c r="L284" s="46" t="n"/>
      <c r="M284" s="164" t="n"/>
      <c r="N284" s="164" t="n"/>
      <c r="O284" s="164" t="n"/>
      <c r="P284" s="133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128" t="n"/>
      <c r="C285" s="129" t="n"/>
      <c r="D285" s="130" t="n"/>
      <c r="E285" s="128" t="n"/>
      <c r="F285" s="129" t="n"/>
      <c r="G285" s="130" t="n"/>
      <c r="H285" s="128" t="n"/>
      <c r="I285" s="129" t="n"/>
      <c r="J285" s="130" t="n"/>
      <c r="K285" s="117" t="n"/>
      <c r="L285" s="46" t="n"/>
      <c r="M285" s="164" t="n"/>
      <c r="N285" s="164" t="n"/>
      <c r="O285" s="164" t="n"/>
      <c r="P285" s="133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128" t="n"/>
      <c r="C286" s="129" t="n"/>
      <c r="D286" s="130" t="n"/>
      <c r="E286" s="128" t="n"/>
      <c r="F286" s="129" t="n"/>
      <c r="G286" s="130" t="n"/>
      <c r="H286" s="128" t="n"/>
      <c r="I286" s="129" t="n"/>
      <c r="J286" s="130" t="n"/>
      <c r="K286" s="117" t="n"/>
      <c r="L286" s="46" t="n"/>
      <c r="M286" s="164" t="n"/>
      <c r="N286" s="164" t="n"/>
      <c r="O286" s="164" t="n"/>
      <c r="P286" s="133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134" t="n"/>
      <c r="C287" s="135" t="n"/>
      <c r="D287" s="136" t="n"/>
      <c r="E287" s="134" t="n"/>
      <c r="F287" s="135" t="n"/>
      <c r="G287" s="136" t="n"/>
      <c r="H287" s="134" t="n"/>
      <c r="I287" s="135" t="n"/>
      <c r="J287" s="136" t="n"/>
      <c r="K287" s="124" t="n"/>
      <c r="L287" s="54" t="n"/>
      <c r="M287" s="164" t="n"/>
      <c r="N287" s="164" t="n"/>
      <c r="O287" s="164" t="n"/>
      <c r="P287" s="133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118" t="n"/>
      <c r="C288" s="118" t="n"/>
      <c r="D288" s="119" t="n"/>
      <c r="E288" s="118" t="n"/>
      <c r="F288" s="118" t="n"/>
      <c r="G288" s="119" t="n"/>
      <c r="H288" s="118" t="n"/>
      <c r="I288" s="118" t="n"/>
      <c r="J288" s="119" t="n"/>
      <c r="K288" s="119" t="n"/>
      <c r="L288" s="54" t="n"/>
      <c r="M288" s="164" t="n"/>
      <c r="N288" s="164" t="n"/>
      <c r="O288" s="164" t="n"/>
      <c r="P288" s="133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121" t="n"/>
      <c r="C289" s="121" t="n"/>
      <c r="D289" s="64" t="n"/>
      <c r="E289" s="121" t="n"/>
      <c r="F289" s="121" t="n"/>
      <c r="G289" s="64" t="n"/>
      <c r="H289" s="121" t="n"/>
      <c r="I289" s="121" t="n"/>
      <c r="J289" s="64" t="n"/>
      <c r="K289" s="64" t="n"/>
      <c r="L289" s="65" t="n"/>
      <c r="M289" s="66" t="n"/>
      <c r="N289" s="66" t="n"/>
      <c r="O289" s="66" t="n"/>
      <c r="P289" s="138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93" t="n"/>
      <c r="C290" s="95" t="n"/>
      <c r="D290" s="97" t="n"/>
      <c r="E290" s="93" t="n"/>
      <c r="F290" s="95" t="n"/>
      <c r="G290" s="97" t="n"/>
      <c r="H290" s="93" t="n"/>
      <c r="I290" s="95" t="n"/>
      <c r="J290" s="97" t="n"/>
      <c r="K290" s="109" t="n"/>
      <c r="L290" s="39" t="n"/>
      <c r="M290" s="34" t="n"/>
      <c r="N290" s="34" t="n"/>
      <c r="O290" s="34" t="n"/>
      <c r="P290" s="131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128" t="n"/>
      <c r="C291" s="129" t="n"/>
      <c r="D291" s="130" t="n"/>
      <c r="E291" s="128" t="n"/>
      <c r="F291" s="129" t="n"/>
      <c r="G291" s="130" t="n"/>
      <c r="H291" s="128" t="n"/>
      <c r="I291" s="129" t="n"/>
      <c r="J291" s="130" t="n"/>
      <c r="K291" s="117" t="n"/>
      <c r="L291" s="46" t="n"/>
      <c r="M291" s="164" t="n"/>
      <c r="N291" s="164" t="n"/>
      <c r="O291" s="164" t="n"/>
      <c r="P291" s="133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128" t="n"/>
      <c r="C292" s="129" t="n"/>
      <c r="D292" s="130" t="n"/>
      <c r="E292" s="128" t="n"/>
      <c r="F292" s="129" t="n"/>
      <c r="G292" s="130" t="n"/>
      <c r="H292" s="128" t="n"/>
      <c r="I292" s="129" t="n"/>
      <c r="J292" s="130" t="n"/>
      <c r="K292" s="117" t="n"/>
      <c r="L292" s="46" t="n"/>
      <c r="M292" s="164" t="n"/>
      <c r="N292" s="164" t="n"/>
      <c r="O292" s="164" t="n"/>
      <c r="P292" s="133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128" t="n"/>
      <c r="C293" s="129" t="n"/>
      <c r="D293" s="130" t="n"/>
      <c r="E293" s="128" t="n"/>
      <c r="F293" s="129" t="n"/>
      <c r="G293" s="130" t="n"/>
      <c r="H293" s="128" t="n"/>
      <c r="I293" s="129" t="n"/>
      <c r="J293" s="130" t="n"/>
      <c r="K293" s="117" t="n"/>
      <c r="L293" s="46" t="n"/>
      <c r="M293" s="164" t="n"/>
      <c r="N293" s="164" t="n"/>
      <c r="O293" s="164" t="n"/>
      <c r="P293" s="133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134" t="n"/>
      <c r="C294" s="135" t="n"/>
      <c r="D294" s="136" t="n"/>
      <c r="E294" s="134" t="n"/>
      <c r="F294" s="135" t="n"/>
      <c r="G294" s="136" t="n"/>
      <c r="H294" s="134" t="n"/>
      <c r="I294" s="135" t="n"/>
      <c r="J294" s="136" t="n"/>
      <c r="K294" s="124" t="n"/>
      <c r="L294" s="54" t="n"/>
      <c r="M294" s="164" t="n"/>
      <c r="N294" s="164" t="n"/>
      <c r="O294" s="164" t="n"/>
      <c r="P294" s="133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118" t="n"/>
      <c r="C295" s="118" t="n"/>
      <c r="D295" s="119" t="n"/>
      <c r="E295" s="118" t="n"/>
      <c r="F295" s="118" t="n"/>
      <c r="G295" s="119" t="n"/>
      <c r="H295" s="118" t="n"/>
      <c r="I295" s="118" t="n"/>
      <c r="J295" s="119" t="n"/>
      <c r="K295" s="119" t="n"/>
      <c r="L295" s="54" t="n"/>
      <c r="M295" s="164" t="n"/>
      <c r="N295" s="164" t="n"/>
      <c r="O295" s="164" t="n"/>
      <c r="P295" s="133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121" t="n"/>
      <c r="C296" s="121" t="n"/>
      <c r="D296" s="64" t="n"/>
      <c r="E296" s="121" t="n"/>
      <c r="F296" s="121" t="n"/>
      <c r="G296" s="64" t="n"/>
      <c r="H296" s="121" t="n"/>
      <c r="I296" s="121" t="n"/>
      <c r="J296" s="64" t="n"/>
      <c r="K296" s="64" t="n"/>
      <c r="L296" s="65" t="n"/>
      <c r="M296" s="66" t="n"/>
      <c r="N296" s="66" t="n"/>
      <c r="O296" s="66" t="n"/>
      <c r="P296" s="138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93" t="n"/>
      <c r="C297" s="95" t="n"/>
      <c r="D297" s="97" t="n"/>
      <c r="E297" s="93" t="n"/>
      <c r="F297" s="95" t="n"/>
      <c r="G297" s="97" t="n"/>
      <c r="H297" s="93" t="n"/>
      <c r="I297" s="95" t="n"/>
      <c r="J297" s="97" t="n"/>
      <c r="K297" s="109" t="n"/>
      <c r="L297" s="39" t="n"/>
      <c r="M297" s="34" t="n"/>
      <c r="N297" s="34" t="n"/>
      <c r="O297" s="34" t="n"/>
      <c r="P297" s="131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128" t="n"/>
      <c r="C298" s="129" t="n"/>
      <c r="D298" s="130" t="n"/>
      <c r="E298" s="128" t="n"/>
      <c r="F298" s="129" t="n"/>
      <c r="G298" s="130" t="n"/>
      <c r="H298" s="128" t="n"/>
      <c r="I298" s="129" t="n"/>
      <c r="J298" s="130" t="n"/>
      <c r="K298" s="117" t="n"/>
      <c r="L298" s="46" t="n"/>
      <c r="M298" s="164" t="n"/>
      <c r="N298" s="164" t="n"/>
      <c r="O298" s="164" t="n"/>
      <c r="P298" s="133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128" t="n"/>
      <c r="C299" s="129" t="n"/>
      <c r="D299" s="130" t="n"/>
      <c r="E299" s="128" t="n"/>
      <c r="F299" s="129" t="n"/>
      <c r="G299" s="130" t="n"/>
      <c r="H299" s="128" t="n"/>
      <c r="I299" s="129" t="n"/>
      <c r="J299" s="130" t="n"/>
      <c r="K299" s="117" t="n"/>
      <c r="L299" s="46" t="n"/>
      <c r="M299" s="164" t="n"/>
      <c r="N299" s="164" t="n"/>
      <c r="O299" s="164" t="n"/>
      <c r="P299" s="133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128" t="n"/>
      <c r="C300" s="129" t="n"/>
      <c r="D300" s="130" t="n"/>
      <c r="E300" s="128" t="n"/>
      <c r="F300" s="129" t="n"/>
      <c r="G300" s="130" t="n"/>
      <c r="H300" s="128" t="n"/>
      <c r="I300" s="129" t="n"/>
      <c r="J300" s="130" t="n"/>
      <c r="K300" s="117" t="n"/>
      <c r="L300" s="46" t="n"/>
      <c r="M300" s="164" t="n"/>
      <c r="N300" s="164" t="n"/>
      <c r="O300" s="164" t="n"/>
      <c r="P300" s="133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134" t="n"/>
      <c r="C301" s="135" t="n"/>
      <c r="D301" s="136" t="n"/>
      <c r="E301" s="134" t="n"/>
      <c r="F301" s="135" t="n"/>
      <c r="G301" s="136" t="n"/>
      <c r="H301" s="134" t="n"/>
      <c r="I301" s="135" t="n"/>
      <c r="J301" s="136" t="n"/>
      <c r="K301" s="124" t="n"/>
      <c r="L301" s="54" t="n"/>
      <c r="M301" s="164" t="n"/>
      <c r="N301" s="164" t="n"/>
      <c r="O301" s="164" t="n"/>
      <c r="P301" s="133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118" t="n"/>
      <c r="C302" s="118" t="n"/>
      <c r="D302" s="119" t="n"/>
      <c r="E302" s="118" t="n"/>
      <c r="F302" s="118" t="n"/>
      <c r="G302" s="119" t="n"/>
      <c r="H302" s="118" t="n"/>
      <c r="I302" s="118" t="n"/>
      <c r="J302" s="119" t="n"/>
      <c r="K302" s="119" t="n"/>
      <c r="L302" s="54" t="n"/>
      <c r="M302" s="164" t="n"/>
      <c r="N302" s="164" t="n"/>
      <c r="O302" s="164" t="n"/>
      <c r="P302" s="133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121" t="n"/>
      <c r="C303" s="121" t="n"/>
      <c r="D303" s="64" t="n"/>
      <c r="E303" s="121" t="n"/>
      <c r="F303" s="121" t="n"/>
      <c r="G303" s="64" t="n"/>
      <c r="H303" s="121" t="n"/>
      <c r="I303" s="121" t="n"/>
      <c r="J303" s="64" t="n"/>
      <c r="K303" s="64" t="n"/>
      <c r="L303" s="65" t="n"/>
      <c r="M303" s="66" t="n"/>
      <c r="N303" s="66" t="n"/>
      <c r="O303" s="66" t="n"/>
      <c r="P303" s="138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39" t="n"/>
      <c r="C304" s="139" t="n"/>
      <c r="D304" s="139" t="n"/>
      <c r="E304" s="139" t="n"/>
      <c r="F304" s="139" t="n"/>
      <c r="G304" s="139" t="n"/>
      <c r="H304" s="139" t="n"/>
      <c r="I304" s="139" t="n"/>
      <c r="J304" s="139" t="n"/>
      <c r="K304" s="139" t="n"/>
      <c r="L304" s="164" t="n"/>
      <c r="M304" s="164" t="n"/>
      <c r="N304" s="164" t="n"/>
      <c r="O304" s="164" t="n"/>
      <c r="P304" s="140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39" t="n"/>
      <c r="C305" s="139" t="n"/>
      <c r="D305" s="139" t="n"/>
      <c r="E305" s="139" t="n"/>
      <c r="F305" s="139" t="n"/>
      <c r="G305" s="139" t="n"/>
      <c r="H305" s="139" t="n"/>
      <c r="I305" s="139" t="n"/>
      <c r="J305" s="139" t="n"/>
      <c r="K305" s="139" t="n"/>
      <c r="L305" s="164" t="n"/>
      <c r="M305" s="164" t="n"/>
      <c r="N305" s="164" t="n"/>
      <c r="O305" s="164" t="n"/>
      <c r="P305" s="140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39" t="n"/>
      <c r="C306" s="139" t="n"/>
      <c r="D306" s="139" t="n"/>
      <c r="E306" s="139" t="n"/>
      <c r="F306" s="139" t="n"/>
      <c r="G306" s="139" t="n"/>
      <c r="H306" s="139" t="n"/>
      <c r="I306" s="139" t="n"/>
      <c r="J306" s="139" t="n"/>
      <c r="K306" s="139" t="n"/>
      <c r="L306" s="164" t="n"/>
      <c r="M306" s="164" t="n"/>
      <c r="N306" s="164" t="n"/>
      <c r="O306" s="164" t="n"/>
      <c r="P306" s="140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39" t="n"/>
      <c r="C307" s="139" t="n"/>
      <c r="D307" s="139" t="n"/>
      <c r="E307" s="139" t="n"/>
      <c r="F307" s="139" t="n"/>
      <c r="G307" s="139" t="n"/>
      <c r="H307" s="139" t="n"/>
      <c r="I307" s="139" t="n"/>
      <c r="J307" s="139" t="n"/>
      <c r="K307" s="139" t="n"/>
      <c r="L307" s="164" t="n"/>
      <c r="M307" s="164" t="n"/>
      <c r="N307" s="164" t="n"/>
      <c r="O307" s="164" t="n"/>
      <c r="P307" s="140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39" t="n"/>
      <c r="C308" s="139" t="n"/>
      <c r="D308" s="139" t="n"/>
      <c r="E308" s="139" t="n"/>
      <c r="F308" s="139" t="n"/>
      <c r="G308" s="139" t="n"/>
      <c r="H308" s="139" t="n"/>
      <c r="I308" s="139" t="n"/>
      <c r="J308" s="139" t="n"/>
      <c r="K308" s="139" t="n"/>
      <c r="L308" s="164" t="n"/>
      <c r="M308" s="164" t="n"/>
      <c r="N308" s="164" t="n"/>
      <c r="O308" s="164" t="n"/>
      <c r="P308" s="140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39" t="n"/>
      <c r="C309" s="139" t="n"/>
      <c r="D309" s="139" t="n"/>
      <c r="E309" s="139" t="n"/>
      <c r="F309" s="139" t="n"/>
      <c r="G309" s="139" t="n"/>
      <c r="H309" s="139" t="n"/>
      <c r="I309" s="139" t="n"/>
      <c r="J309" s="139" t="n"/>
      <c r="K309" s="139" t="n"/>
      <c r="L309" s="164" t="n"/>
      <c r="M309" s="164" t="n"/>
      <c r="N309" s="164" t="n"/>
      <c r="O309" s="164" t="n"/>
      <c r="P309" s="140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39" t="n"/>
      <c r="C310" s="139" t="n"/>
      <c r="D310" s="139" t="n"/>
      <c r="E310" s="139" t="n"/>
      <c r="F310" s="139" t="n"/>
      <c r="G310" s="139" t="n"/>
      <c r="H310" s="139" t="n"/>
      <c r="I310" s="139" t="n"/>
      <c r="J310" s="139" t="n"/>
      <c r="K310" s="139" t="n"/>
      <c r="L310" s="164" t="n"/>
      <c r="M310" s="164" t="n"/>
      <c r="N310" s="164" t="n"/>
      <c r="O310" s="164" t="n"/>
      <c r="P310" s="140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39" t="n"/>
      <c r="C311" s="139" t="n"/>
      <c r="D311" s="139" t="n"/>
      <c r="E311" s="139" t="n"/>
      <c r="F311" s="139" t="n"/>
      <c r="G311" s="139" t="n"/>
      <c r="H311" s="139" t="n"/>
      <c r="I311" s="139" t="n"/>
      <c r="J311" s="139" t="n"/>
      <c r="K311" s="139" t="n"/>
      <c r="L311" s="164" t="n"/>
      <c r="M311" s="164" t="n"/>
      <c r="N311" s="164" t="n"/>
      <c r="O311" s="164" t="n"/>
      <c r="P311" s="140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39" t="n"/>
      <c r="C312" s="139" t="n"/>
      <c r="D312" s="139" t="n"/>
      <c r="E312" s="139" t="n"/>
      <c r="F312" s="139" t="n"/>
      <c r="G312" s="139" t="n"/>
      <c r="H312" s="139" t="n"/>
      <c r="I312" s="139" t="n"/>
      <c r="J312" s="139" t="n"/>
      <c r="K312" s="139" t="n"/>
      <c r="L312" s="164" t="n"/>
      <c r="M312" s="164" t="n"/>
      <c r="N312" s="164" t="n"/>
      <c r="O312" s="164" t="n"/>
      <c r="P312" s="140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39" t="n"/>
      <c r="C313" s="139" t="n"/>
      <c r="D313" s="139" t="n"/>
      <c r="E313" s="139" t="n"/>
      <c r="F313" s="139" t="n"/>
      <c r="G313" s="139" t="n"/>
      <c r="H313" s="139" t="n"/>
      <c r="I313" s="139" t="n"/>
      <c r="J313" s="139" t="n"/>
      <c r="K313" s="139" t="n"/>
      <c r="L313" s="164" t="n"/>
      <c r="M313" s="164" t="n"/>
      <c r="N313" s="164" t="n"/>
      <c r="O313" s="164" t="n"/>
      <c r="P313" s="140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39" t="n"/>
      <c r="C314" s="139" t="n"/>
      <c r="D314" s="139" t="n"/>
      <c r="E314" s="139" t="n"/>
      <c r="F314" s="139" t="n"/>
      <c r="G314" s="139" t="n"/>
      <c r="H314" s="139" t="n"/>
      <c r="I314" s="139" t="n"/>
      <c r="J314" s="139" t="n"/>
      <c r="K314" s="139" t="n"/>
      <c r="L314" s="164" t="n"/>
      <c r="M314" s="164" t="n"/>
      <c r="N314" s="164" t="n"/>
      <c r="O314" s="164" t="n"/>
      <c r="P314" s="140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39" t="n"/>
      <c r="C315" s="139" t="n"/>
      <c r="D315" s="139" t="n"/>
      <c r="E315" s="139" t="n"/>
      <c r="F315" s="139" t="n"/>
      <c r="G315" s="139" t="n"/>
      <c r="H315" s="139" t="n"/>
      <c r="I315" s="139" t="n"/>
      <c r="J315" s="139" t="n"/>
      <c r="K315" s="139" t="n"/>
      <c r="L315" s="164" t="n"/>
      <c r="M315" s="164" t="n"/>
      <c r="N315" s="164" t="n"/>
      <c r="O315" s="164" t="n"/>
      <c r="P315" s="140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39" t="n"/>
      <c r="C316" s="139" t="n"/>
      <c r="D316" s="139" t="n"/>
      <c r="E316" s="139" t="n"/>
      <c r="F316" s="139" t="n"/>
      <c r="G316" s="139" t="n"/>
      <c r="H316" s="139" t="n"/>
      <c r="I316" s="139" t="n"/>
      <c r="J316" s="139" t="n"/>
      <c r="K316" s="139" t="n"/>
      <c r="L316" s="164" t="n"/>
      <c r="M316" s="164" t="n"/>
      <c r="N316" s="164" t="n"/>
      <c r="O316" s="164" t="n"/>
      <c r="P316" s="140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39" t="n"/>
      <c r="C317" s="139" t="n"/>
      <c r="D317" s="139" t="n"/>
      <c r="E317" s="139" t="n"/>
      <c r="F317" s="139" t="n"/>
      <c r="G317" s="139" t="n"/>
      <c r="H317" s="139" t="n"/>
      <c r="I317" s="139" t="n"/>
      <c r="J317" s="139" t="n"/>
      <c r="K317" s="139" t="n"/>
      <c r="L317" s="164" t="n"/>
      <c r="M317" s="164" t="n"/>
      <c r="N317" s="164" t="n"/>
      <c r="O317" s="164" t="n"/>
      <c r="P317" s="140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39" t="n"/>
      <c r="C318" s="139" t="n"/>
      <c r="D318" s="139" t="n"/>
      <c r="E318" s="139" t="n"/>
      <c r="F318" s="139" t="n"/>
      <c r="G318" s="139" t="n"/>
      <c r="H318" s="139" t="n"/>
      <c r="I318" s="139" t="n"/>
      <c r="J318" s="139" t="n"/>
      <c r="K318" s="139" t="n"/>
      <c r="L318" s="164" t="n"/>
      <c r="M318" s="164" t="n"/>
      <c r="N318" s="164" t="n"/>
      <c r="O318" s="164" t="n"/>
      <c r="P318" s="140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39" t="n"/>
      <c r="C319" s="139" t="n"/>
      <c r="D319" s="139" t="n"/>
      <c r="E319" s="139" t="n"/>
      <c r="F319" s="139" t="n"/>
      <c r="G319" s="139" t="n"/>
      <c r="H319" s="139" t="n"/>
      <c r="I319" s="139" t="n"/>
      <c r="J319" s="139" t="n"/>
      <c r="K319" s="139" t="n"/>
      <c r="L319" s="164" t="n"/>
      <c r="M319" s="164" t="n"/>
      <c r="N319" s="164" t="n"/>
      <c r="O319" s="164" t="n"/>
      <c r="P319" s="140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39" t="n"/>
      <c r="C320" s="139" t="n"/>
      <c r="D320" s="139" t="n"/>
      <c r="E320" s="139" t="n"/>
      <c r="F320" s="139" t="n"/>
      <c r="G320" s="139" t="n"/>
      <c r="H320" s="139" t="n"/>
      <c r="I320" s="139" t="n"/>
      <c r="J320" s="139" t="n"/>
      <c r="K320" s="139" t="n"/>
      <c r="L320" s="164" t="n"/>
      <c r="M320" s="164" t="n"/>
      <c r="N320" s="164" t="n"/>
      <c r="O320" s="164" t="n"/>
      <c r="P320" s="140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39" t="n"/>
      <c r="C321" s="139" t="n"/>
      <c r="D321" s="139" t="n"/>
      <c r="E321" s="139" t="n"/>
      <c r="F321" s="139" t="n"/>
      <c r="G321" s="139" t="n"/>
      <c r="H321" s="139" t="n"/>
      <c r="I321" s="139" t="n"/>
      <c r="J321" s="139" t="n"/>
      <c r="K321" s="139" t="n"/>
      <c r="L321" s="164" t="n"/>
      <c r="M321" s="164" t="n"/>
      <c r="N321" s="164" t="n"/>
      <c r="O321" s="164" t="n"/>
      <c r="P321" s="140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39" t="n"/>
      <c r="C322" s="139" t="n"/>
      <c r="D322" s="139" t="n"/>
      <c r="E322" s="139" t="n"/>
      <c r="F322" s="139" t="n"/>
      <c r="G322" s="139" t="n"/>
      <c r="H322" s="139" t="n"/>
      <c r="I322" s="139" t="n"/>
      <c r="J322" s="139" t="n"/>
      <c r="K322" s="139" t="n"/>
      <c r="L322" s="164" t="n"/>
      <c r="M322" s="164" t="n"/>
      <c r="N322" s="164" t="n"/>
      <c r="O322" s="164" t="n"/>
      <c r="P322" s="140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39" t="n"/>
      <c r="C323" s="139" t="n"/>
      <c r="D323" s="139" t="n"/>
      <c r="E323" s="139" t="n"/>
      <c r="F323" s="139" t="n"/>
      <c r="G323" s="139" t="n"/>
      <c r="H323" s="139" t="n"/>
      <c r="I323" s="139" t="n"/>
      <c r="J323" s="139" t="n"/>
      <c r="K323" s="139" t="n"/>
      <c r="L323" s="164" t="n"/>
      <c r="M323" s="164" t="n"/>
      <c r="N323" s="164" t="n"/>
      <c r="O323" s="164" t="n"/>
      <c r="P323" s="140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39" t="n"/>
      <c r="C324" s="139" t="n"/>
      <c r="D324" s="139" t="n"/>
      <c r="E324" s="139" t="n"/>
      <c r="F324" s="139" t="n"/>
      <c r="G324" s="139" t="n"/>
      <c r="H324" s="139" t="n"/>
      <c r="I324" s="139" t="n"/>
      <c r="J324" s="139" t="n"/>
      <c r="K324" s="139" t="n"/>
      <c r="L324" s="164" t="n"/>
      <c r="M324" s="164" t="n"/>
      <c r="N324" s="164" t="n"/>
      <c r="O324" s="164" t="n"/>
      <c r="P324" s="140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39" t="n"/>
      <c r="C325" s="139" t="n"/>
      <c r="D325" s="139" t="n"/>
      <c r="E325" s="139" t="n"/>
      <c r="F325" s="139" t="n"/>
      <c r="G325" s="139" t="n"/>
      <c r="H325" s="139" t="n"/>
      <c r="I325" s="139" t="n"/>
      <c r="J325" s="139" t="n"/>
      <c r="K325" s="139" t="n"/>
      <c r="L325" s="164" t="n"/>
      <c r="M325" s="164" t="n"/>
      <c r="N325" s="164" t="n"/>
      <c r="O325" s="164" t="n"/>
      <c r="P325" s="140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39" t="n"/>
      <c r="C326" s="139" t="n"/>
      <c r="D326" s="139" t="n"/>
      <c r="E326" s="139" t="n"/>
      <c r="F326" s="139" t="n"/>
      <c r="G326" s="139" t="n"/>
      <c r="H326" s="139" t="n"/>
      <c r="I326" s="139" t="n"/>
      <c r="J326" s="139" t="n"/>
      <c r="K326" s="139" t="n"/>
      <c r="L326" s="164" t="n"/>
      <c r="M326" s="164" t="n"/>
      <c r="N326" s="164" t="n"/>
      <c r="O326" s="164" t="n"/>
      <c r="P326" s="140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39" t="n"/>
      <c r="C327" s="139" t="n"/>
      <c r="D327" s="139" t="n"/>
      <c r="E327" s="139" t="n"/>
      <c r="F327" s="139" t="n"/>
      <c r="G327" s="139" t="n"/>
      <c r="H327" s="139" t="n"/>
      <c r="I327" s="139" t="n"/>
      <c r="J327" s="139" t="n"/>
      <c r="K327" s="139" t="n"/>
      <c r="L327" s="164" t="n"/>
      <c r="M327" s="164" t="n"/>
      <c r="N327" s="164" t="n"/>
      <c r="O327" s="164" t="n"/>
      <c r="P327" s="140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39" t="n"/>
      <c r="C328" s="139" t="n"/>
      <c r="D328" s="139" t="n"/>
      <c r="E328" s="139" t="n"/>
      <c r="F328" s="139" t="n"/>
      <c r="G328" s="139" t="n"/>
      <c r="H328" s="139" t="n"/>
      <c r="I328" s="139" t="n"/>
      <c r="J328" s="139" t="n"/>
      <c r="K328" s="139" t="n"/>
      <c r="L328" s="164" t="n"/>
      <c r="M328" s="164" t="n"/>
      <c r="N328" s="164" t="n"/>
      <c r="O328" s="164" t="n"/>
      <c r="P328" s="140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39" t="n"/>
      <c r="C329" s="139" t="n"/>
      <c r="D329" s="139" t="n"/>
      <c r="E329" s="139" t="n"/>
      <c r="F329" s="139" t="n"/>
      <c r="G329" s="139" t="n"/>
      <c r="H329" s="139" t="n"/>
      <c r="I329" s="139" t="n"/>
      <c r="J329" s="139" t="n"/>
      <c r="K329" s="139" t="n"/>
      <c r="L329" s="164" t="n"/>
      <c r="M329" s="164" t="n"/>
      <c r="N329" s="164" t="n"/>
      <c r="O329" s="164" t="n"/>
      <c r="P329" s="140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39" t="n"/>
      <c r="C330" s="139" t="n"/>
      <c r="D330" s="139" t="n"/>
      <c r="E330" s="139" t="n"/>
      <c r="F330" s="139" t="n"/>
      <c r="G330" s="139" t="n"/>
      <c r="H330" s="139" t="n"/>
      <c r="I330" s="139" t="n"/>
      <c r="J330" s="139" t="n"/>
      <c r="K330" s="139" t="n"/>
      <c r="L330" s="164" t="n"/>
      <c r="M330" s="164" t="n"/>
      <c r="N330" s="164" t="n"/>
      <c r="O330" s="164" t="n"/>
      <c r="P330" s="140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39" t="n"/>
      <c r="C331" s="139" t="n"/>
      <c r="D331" s="139" t="n"/>
      <c r="E331" s="139" t="n"/>
      <c r="F331" s="139" t="n"/>
      <c r="G331" s="139" t="n"/>
      <c r="H331" s="139" t="n"/>
      <c r="I331" s="139" t="n"/>
      <c r="J331" s="139" t="n"/>
      <c r="K331" s="139" t="n"/>
      <c r="L331" s="164" t="n"/>
      <c r="M331" s="164" t="n"/>
      <c r="N331" s="164" t="n"/>
      <c r="O331" s="164" t="n"/>
      <c r="P331" s="140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39" t="n"/>
      <c r="C332" s="139" t="n"/>
      <c r="D332" s="139" t="n"/>
      <c r="E332" s="139" t="n"/>
      <c r="F332" s="139" t="n"/>
      <c r="G332" s="139" t="n"/>
      <c r="H332" s="139" t="n"/>
      <c r="I332" s="139" t="n"/>
      <c r="J332" s="139" t="n"/>
      <c r="K332" s="139" t="n"/>
      <c r="L332" s="164" t="n"/>
      <c r="M332" s="164" t="n"/>
      <c r="N332" s="164" t="n"/>
      <c r="O332" s="164" t="n"/>
      <c r="P332" s="140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39" t="n"/>
      <c r="C333" s="139" t="n"/>
      <c r="D333" s="139" t="n"/>
      <c r="E333" s="139" t="n"/>
      <c r="F333" s="139" t="n"/>
      <c r="G333" s="139" t="n"/>
      <c r="H333" s="139" t="n"/>
      <c r="I333" s="139" t="n"/>
      <c r="J333" s="139" t="n"/>
      <c r="K333" s="139" t="n"/>
      <c r="L333" s="164" t="n"/>
      <c r="M333" s="164" t="n"/>
      <c r="N333" s="164" t="n"/>
      <c r="O333" s="164" t="n"/>
      <c r="P333" s="140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39" t="n"/>
      <c r="C334" s="139" t="n"/>
      <c r="D334" s="139" t="n"/>
      <c r="E334" s="139" t="n"/>
      <c r="F334" s="139" t="n"/>
      <c r="G334" s="139" t="n"/>
      <c r="H334" s="139" t="n"/>
      <c r="I334" s="139" t="n"/>
      <c r="J334" s="139" t="n"/>
      <c r="K334" s="139" t="n"/>
      <c r="L334" s="164" t="n"/>
      <c r="M334" s="164" t="n"/>
      <c r="N334" s="164" t="n"/>
      <c r="O334" s="164" t="n"/>
      <c r="P334" s="140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39" t="n"/>
      <c r="C335" s="139" t="n"/>
      <c r="D335" s="139" t="n"/>
      <c r="E335" s="139" t="n"/>
      <c r="F335" s="139" t="n"/>
      <c r="G335" s="139" t="n"/>
      <c r="H335" s="139" t="n"/>
      <c r="I335" s="139" t="n"/>
      <c r="J335" s="139" t="n"/>
      <c r="K335" s="139" t="n"/>
      <c r="L335" s="164" t="n"/>
      <c r="M335" s="164" t="n"/>
      <c r="N335" s="164" t="n"/>
      <c r="O335" s="164" t="n"/>
      <c r="P335" s="140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39" t="n"/>
      <c r="C336" s="139" t="n"/>
      <c r="D336" s="139" t="n"/>
      <c r="E336" s="139" t="n"/>
      <c r="F336" s="139" t="n"/>
      <c r="G336" s="139" t="n"/>
      <c r="H336" s="139" t="n"/>
      <c r="I336" s="139" t="n"/>
      <c r="J336" s="139" t="n"/>
      <c r="K336" s="139" t="n"/>
      <c r="L336" s="164" t="n"/>
      <c r="M336" s="164" t="n"/>
      <c r="N336" s="164" t="n"/>
      <c r="O336" s="164" t="n"/>
      <c r="P336" s="140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39" t="n"/>
      <c r="C337" s="139" t="n"/>
      <c r="D337" s="139" t="n"/>
      <c r="E337" s="139" t="n"/>
      <c r="F337" s="139" t="n"/>
      <c r="G337" s="139" t="n"/>
      <c r="H337" s="139" t="n"/>
      <c r="I337" s="139" t="n"/>
      <c r="J337" s="139" t="n"/>
      <c r="K337" s="139" t="n"/>
      <c r="L337" s="164" t="n"/>
      <c r="M337" s="164" t="n"/>
      <c r="N337" s="164" t="n"/>
      <c r="O337" s="164" t="n"/>
      <c r="P337" s="140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39" t="n"/>
      <c r="C338" s="139" t="n"/>
      <c r="D338" s="139" t="n"/>
      <c r="E338" s="139" t="n"/>
      <c r="F338" s="139" t="n"/>
      <c r="G338" s="139" t="n"/>
      <c r="H338" s="139" t="n"/>
      <c r="I338" s="139" t="n"/>
      <c r="J338" s="139" t="n"/>
      <c r="K338" s="139" t="n"/>
      <c r="L338" s="164" t="n"/>
      <c r="M338" s="164" t="n"/>
      <c r="N338" s="164" t="n"/>
      <c r="O338" s="164" t="n"/>
      <c r="P338" s="140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39" t="n"/>
      <c r="C339" s="139" t="n"/>
      <c r="D339" s="139" t="n"/>
      <c r="E339" s="139" t="n"/>
      <c r="F339" s="139" t="n"/>
      <c r="G339" s="139" t="n"/>
      <c r="H339" s="139" t="n"/>
      <c r="I339" s="139" t="n"/>
      <c r="J339" s="139" t="n"/>
      <c r="K339" s="139" t="n"/>
      <c r="L339" s="164" t="n"/>
      <c r="M339" s="164" t="n"/>
      <c r="N339" s="164" t="n"/>
      <c r="O339" s="164" t="n"/>
      <c r="P339" s="140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39" t="n"/>
      <c r="C340" s="139" t="n"/>
      <c r="D340" s="139" t="n"/>
      <c r="E340" s="139" t="n"/>
      <c r="F340" s="139" t="n"/>
      <c r="G340" s="139" t="n"/>
      <c r="H340" s="139" t="n"/>
      <c r="I340" s="139" t="n"/>
      <c r="J340" s="139" t="n"/>
      <c r="K340" s="139" t="n"/>
      <c r="L340" s="164" t="n"/>
      <c r="M340" s="164" t="n"/>
      <c r="N340" s="164" t="n"/>
      <c r="O340" s="164" t="n"/>
      <c r="P340" s="140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39" t="n"/>
      <c r="C341" s="139" t="n"/>
      <c r="D341" s="139" t="n"/>
      <c r="E341" s="139" t="n"/>
      <c r="F341" s="139" t="n"/>
      <c r="G341" s="139" t="n"/>
      <c r="H341" s="139" t="n"/>
      <c r="I341" s="139" t="n"/>
      <c r="J341" s="139" t="n"/>
      <c r="K341" s="139" t="n"/>
      <c r="L341" s="164" t="n"/>
      <c r="M341" s="164" t="n"/>
      <c r="N341" s="164" t="n"/>
      <c r="O341" s="164" t="n"/>
      <c r="P341" s="140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39" t="n"/>
      <c r="C342" s="139" t="n"/>
      <c r="D342" s="139" t="n"/>
      <c r="E342" s="139" t="n"/>
      <c r="F342" s="139" t="n"/>
      <c r="G342" s="139" t="n"/>
      <c r="H342" s="139" t="n"/>
      <c r="I342" s="139" t="n"/>
      <c r="J342" s="139" t="n"/>
      <c r="K342" s="139" t="n"/>
      <c r="L342" s="164" t="n"/>
      <c r="M342" s="164" t="n"/>
      <c r="N342" s="164" t="n"/>
      <c r="O342" s="164" t="n"/>
      <c r="P342" s="140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39" t="n"/>
      <c r="C343" s="139" t="n"/>
      <c r="D343" s="139" t="n"/>
      <c r="E343" s="139" t="n"/>
      <c r="F343" s="139" t="n"/>
      <c r="G343" s="139" t="n"/>
      <c r="H343" s="139" t="n"/>
      <c r="I343" s="139" t="n"/>
      <c r="J343" s="139" t="n"/>
      <c r="K343" s="139" t="n"/>
      <c r="L343" s="164" t="n"/>
      <c r="M343" s="164" t="n"/>
      <c r="N343" s="164" t="n"/>
      <c r="O343" s="164" t="n"/>
      <c r="P343" s="140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39" t="n"/>
      <c r="C344" s="139" t="n"/>
      <c r="D344" s="139" t="n"/>
      <c r="E344" s="139" t="n"/>
      <c r="F344" s="139" t="n"/>
      <c r="G344" s="139" t="n"/>
      <c r="H344" s="139" t="n"/>
      <c r="I344" s="139" t="n"/>
      <c r="J344" s="139" t="n"/>
      <c r="K344" s="139" t="n"/>
      <c r="L344" s="164" t="n"/>
      <c r="M344" s="164" t="n"/>
      <c r="N344" s="164" t="n"/>
      <c r="O344" s="164" t="n"/>
      <c r="P344" s="140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39" t="n"/>
      <c r="C345" s="139" t="n"/>
      <c r="D345" s="139" t="n"/>
      <c r="E345" s="139" t="n"/>
      <c r="F345" s="139" t="n"/>
      <c r="G345" s="139" t="n"/>
      <c r="H345" s="139" t="n"/>
      <c r="I345" s="139" t="n"/>
      <c r="J345" s="139" t="n"/>
      <c r="K345" s="139" t="n"/>
      <c r="L345" s="164" t="n"/>
      <c r="M345" s="164" t="n"/>
      <c r="N345" s="164" t="n"/>
      <c r="O345" s="164" t="n"/>
      <c r="P345" s="140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39" t="n"/>
      <c r="C346" s="139" t="n"/>
      <c r="D346" s="139" t="n"/>
      <c r="E346" s="139" t="n"/>
      <c r="F346" s="139" t="n"/>
      <c r="G346" s="139" t="n"/>
      <c r="H346" s="139" t="n"/>
      <c r="I346" s="139" t="n"/>
      <c r="J346" s="139" t="n"/>
      <c r="K346" s="139" t="n"/>
      <c r="L346" s="164" t="n"/>
      <c r="M346" s="164" t="n"/>
      <c r="N346" s="164" t="n"/>
      <c r="O346" s="164" t="n"/>
      <c r="P346" s="140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39" t="n"/>
      <c r="C347" s="139" t="n"/>
      <c r="D347" s="139" t="n"/>
      <c r="E347" s="139" t="n"/>
      <c r="F347" s="139" t="n"/>
      <c r="G347" s="139" t="n"/>
      <c r="H347" s="139" t="n"/>
      <c r="I347" s="139" t="n"/>
      <c r="J347" s="139" t="n"/>
      <c r="K347" s="139" t="n"/>
      <c r="L347" s="164" t="n"/>
      <c r="M347" s="164" t="n"/>
      <c r="N347" s="164" t="n"/>
      <c r="O347" s="164" t="n"/>
      <c r="P347" s="140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39" t="n"/>
      <c r="C348" s="139" t="n"/>
      <c r="D348" s="139" t="n"/>
      <c r="E348" s="139" t="n"/>
      <c r="F348" s="139" t="n"/>
      <c r="G348" s="139" t="n"/>
      <c r="H348" s="139" t="n"/>
      <c r="I348" s="139" t="n"/>
      <c r="J348" s="139" t="n"/>
      <c r="K348" s="139" t="n"/>
      <c r="L348" s="164" t="n"/>
      <c r="M348" s="164" t="n"/>
      <c r="N348" s="164" t="n"/>
      <c r="O348" s="164" t="n"/>
      <c r="P348" s="140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39" t="n"/>
      <c r="C349" s="139" t="n"/>
      <c r="D349" s="139" t="n"/>
      <c r="E349" s="139" t="n"/>
      <c r="F349" s="139" t="n"/>
      <c r="G349" s="139" t="n"/>
      <c r="H349" s="139" t="n"/>
      <c r="I349" s="139" t="n"/>
      <c r="J349" s="139" t="n"/>
      <c r="K349" s="139" t="n"/>
      <c r="L349" s="164" t="n"/>
      <c r="M349" s="164" t="n"/>
      <c r="N349" s="164" t="n"/>
      <c r="O349" s="164" t="n"/>
      <c r="P349" s="140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39" t="n"/>
      <c r="C350" s="139" t="n"/>
      <c r="D350" s="139" t="n"/>
      <c r="E350" s="139" t="n"/>
      <c r="F350" s="139" t="n"/>
      <c r="G350" s="139" t="n"/>
      <c r="H350" s="139" t="n"/>
      <c r="I350" s="139" t="n"/>
      <c r="J350" s="139" t="n"/>
      <c r="K350" s="139" t="n"/>
      <c r="L350" s="164" t="n"/>
      <c r="M350" s="164" t="n"/>
      <c r="N350" s="164" t="n"/>
      <c r="O350" s="164" t="n"/>
      <c r="P350" s="140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39" t="n"/>
      <c r="C351" s="139" t="n"/>
      <c r="D351" s="139" t="n"/>
      <c r="E351" s="139" t="n"/>
      <c r="F351" s="139" t="n"/>
      <c r="G351" s="139" t="n"/>
      <c r="H351" s="139" t="n"/>
      <c r="I351" s="139" t="n"/>
      <c r="J351" s="139" t="n"/>
      <c r="K351" s="139" t="n"/>
      <c r="L351" s="164" t="n"/>
      <c r="M351" s="164" t="n"/>
      <c r="N351" s="164" t="n"/>
      <c r="O351" s="164" t="n"/>
      <c r="P351" s="140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39" t="n"/>
      <c r="C352" s="139" t="n"/>
      <c r="D352" s="139" t="n"/>
      <c r="E352" s="139" t="n"/>
      <c r="F352" s="139" t="n"/>
      <c r="G352" s="139" t="n"/>
      <c r="H352" s="139" t="n"/>
      <c r="I352" s="139" t="n"/>
      <c r="J352" s="139" t="n"/>
      <c r="K352" s="139" t="n"/>
      <c r="L352" s="164" t="n"/>
      <c r="M352" s="164" t="n"/>
      <c r="N352" s="164" t="n"/>
      <c r="O352" s="164" t="n"/>
      <c r="P352" s="140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39" t="n"/>
      <c r="C353" s="139" t="n"/>
      <c r="D353" s="139" t="n"/>
      <c r="E353" s="139" t="n"/>
      <c r="F353" s="139" t="n"/>
      <c r="G353" s="139" t="n"/>
      <c r="H353" s="139" t="n"/>
      <c r="I353" s="139" t="n"/>
      <c r="J353" s="139" t="n"/>
      <c r="K353" s="139" t="n"/>
      <c r="L353" s="164" t="n"/>
      <c r="M353" s="164" t="n"/>
      <c r="N353" s="164" t="n"/>
      <c r="O353" s="164" t="n"/>
      <c r="P353" s="140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39" t="n"/>
      <c r="C354" s="139" t="n"/>
      <c r="D354" s="139" t="n"/>
      <c r="E354" s="139" t="n"/>
      <c r="F354" s="139" t="n"/>
      <c r="G354" s="139" t="n"/>
      <c r="H354" s="139" t="n"/>
      <c r="I354" s="139" t="n"/>
      <c r="J354" s="139" t="n"/>
      <c r="K354" s="139" t="n"/>
      <c r="L354" s="164" t="n"/>
      <c r="M354" s="164" t="n"/>
      <c r="N354" s="164" t="n"/>
      <c r="O354" s="164" t="n"/>
      <c r="P354" s="140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39" t="n"/>
      <c r="C355" s="139" t="n"/>
      <c r="D355" s="139" t="n"/>
      <c r="E355" s="139" t="n"/>
      <c r="F355" s="139" t="n"/>
      <c r="G355" s="139" t="n"/>
      <c r="H355" s="139" t="n"/>
      <c r="I355" s="139" t="n"/>
      <c r="J355" s="139" t="n"/>
      <c r="K355" s="139" t="n"/>
      <c r="L355" s="164" t="n"/>
      <c r="M355" s="164" t="n"/>
      <c r="N355" s="164" t="n"/>
      <c r="O355" s="164" t="n"/>
      <c r="P355" s="140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39" t="n"/>
      <c r="C356" s="139" t="n"/>
      <c r="D356" s="139" t="n"/>
      <c r="E356" s="139" t="n"/>
      <c r="F356" s="139" t="n"/>
      <c r="G356" s="139" t="n"/>
      <c r="H356" s="139" t="n"/>
      <c r="I356" s="139" t="n"/>
      <c r="J356" s="139" t="n"/>
      <c r="K356" s="139" t="n"/>
      <c r="L356" s="164" t="n"/>
      <c r="M356" s="164" t="n"/>
      <c r="N356" s="164" t="n"/>
      <c r="O356" s="164" t="n"/>
      <c r="P356" s="140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39" t="n"/>
      <c r="C357" s="139" t="n"/>
      <c r="D357" s="139" t="n"/>
      <c r="E357" s="139" t="n"/>
      <c r="F357" s="139" t="n"/>
      <c r="G357" s="139" t="n"/>
      <c r="H357" s="139" t="n"/>
      <c r="I357" s="139" t="n"/>
      <c r="J357" s="139" t="n"/>
      <c r="K357" s="139" t="n"/>
      <c r="L357" s="164" t="n"/>
      <c r="M357" s="164" t="n"/>
      <c r="N357" s="164" t="n"/>
      <c r="O357" s="164" t="n"/>
      <c r="P357" s="140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39" t="n"/>
      <c r="C358" s="139" t="n"/>
      <c r="D358" s="139" t="n"/>
      <c r="E358" s="139" t="n"/>
      <c r="F358" s="139" t="n"/>
      <c r="G358" s="139" t="n"/>
      <c r="H358" s="139" t="n"/>
      <c r="I358" s="139" t="n"/>
      <c r="J358" s="139" t="n"/>
      <c r="K358" s="139" t="n"/>
      <c r="L358" s="164" t="n"/>
      <c r="M358" s="164" t="n"/>
      <c r="N358" s="164" t="n"/>
      <c r="O358" s="164" t="n"/>
      <c r="P358" s="140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39" t="n"/>
      <c r="C359" s="139" t="n"/>
      <c r="D359" s="139" t="n"/>
      <c r="E359" s="139" t="n"/>
      <c r="F359" s="139" t="n"/>
      <c r="G359" s="139" t="n"/>
      <c r="H359" s="139" t="n"/>
      <c r="I359" s="139" t="n"/>
      <c r="J359" s="139" t="n"/>
      <c r="K359" s="139" t="n"/>
      <c r="L359" s="164" t="n"/>
      <c r="M359" s="164" t="n"/>
      <c r="N359" s="164" t="n"/>
      <c r="O359" s="164" t="n"/>
      <c r="P359" s="140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39" t="n"/>
      <c r="C360" s="139" t="n"/>
      <c r="D360" s="139" t="n"/>
      <c r="E360" s="139" t="n"/>
      <c r="F360" s="139" t="n"/>
      <c r="G360" s="139" t="n"/>
      <c r="H360" s="139" t="n"/>
      <c r="I360" s="139" t="n"/>
      <c r="J360" s="139" t="n"/>
      <c r="K360" s="139" t="n"/>
      <c r="L360" s="164" t="n"/>
      <c r="M360" s="164" t="n"/>
      <c r="N360" s="164" t="n"/>
      <c r="O360" s="164" t="n"/>
      <c r="P360" s="140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39" t="n"/>
      <c r="C361" s="139" t="n"/>
      <c r="D361" s="139" t="n"/>
      <c r="E361" s="139" t="n"/>
      <c r="F361" s="139" t="n"/>
      <c r="G361" s="139" t="n"/>
      <c r="H361" s="139" t="n"/>
      <c r="I361" s="139" t="n"/>
      <c r="J361" s="139" t="n"/>
      <c r="K361" s="139" t="n"/>
      <c r="L361" s="164" t="n"/>
      <c r="M361" s="164" t="n"/>
      <c r="N361" s="164" t="n"/>
      <c r="O361" s="164" t="n"/>
      <c r="P361" s="140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39" t="n"/>
      <c r="C362" s="139" t="n"/>
      <c r="D362" s="139" t="n"/>
      <c r="E362" s="139" t="n"/>
      <c r="F362" s="139" t="n"/>
      <c r="G362" s="139" t="n"/>
      <c r="H362" s="139" t="n"/>
      <c r="I362" s="139" t="n"/>
      <c r="J362" s="139" t="n"/>
      <c r="K362" s="139" t="n"/>
      <c r="L362" s="164" t="n"/>
      <c r="M362" s="164" t="n"/>
      <c r="N362" s="164" t="n"/>
      <c r="O362" s="164" t="n"/>
      <c r="P362" s="140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39" t="n"/>
      <c r="C363" s="139" t="n"/>
      <c r="D363" s="139" t="n"/>
      <c r="E363" s="139" t="n"/>
      <c r="F363" s="139" t="n"/>
      <c r="G363" s="139" t="n"/>
      <c r="H363" s="139" t="n"/>
      <c r="I363" s="139" t="n"/>
      <c r="J363" s="139" t="n"/>
      <c r="K363" s="139" t="n"/>
      <c r="L363" s="164" t="n"/>
      <c r="M363" s="164" t="n"/>
      <c r="N363" s="164" t="n"/>
      <c r="O363" s="164" t="n"/>
      <c r="P363" s="140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39" t="n"/>
      <c r="C364" s="139" t="n"/>
      <c r="D364" s="139" t="n"/>
      <c r="E364" s="139" t="n"/>
      <c r="F364" s="139" t="n"/>
      <c r="G364" s="139" t="n"/>
      <c r="H364" s="139" t="n"/>
      <c r="I364" s="139" t="n"/>
      <c r="J364" s="139" t="n"/>
      <c r="K364" s="139" t="n"/>
      <c r="L364" s="164" t="n"/>
      <c r="M364" s="164" t="n"/>
      <c r="N364" s="164" t="n"/>
      <c r="O364" s="164" t="n"/>
      <c r="P364" s="140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39" t="n"/>
      <c r="C365" s="139" t="n"/>
      <c r="D365" s="139" t="n"/>
      <c r="E365" s="139" t="n"/>
      <c r="F365" s="139" t="n"/>
      <c r="G365" s="139" t="n"/>
      <c r="H365" s="139" t="n"/>
      <c r="I365" s="139" t="n"/>
      <c r="J365" s="139" t="n"/>
      <c r="K365" s="139" t="n"/>
      <c r="L365" s="164" t="n"/>
      <c r="M365" s="164" t="n"/>
      <c r="N365" s="164" t="n"/>
      <c r="O365" s="164" t="n"/>
      <c r="P365" s="140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39" t="n"/>
      <c r="C366" s="139" t="n"/>
      <c r="D366" s="139" t="n"/>
      <c r="E366" s="139" t="n"/>
      <c r="F366" s="139" t="n"/>
      <c r="G366" s="139" t="n"/>
      <c r="H366" s="139" t="n"/>
      <c r="I366" s="139" t="n"/>
      <c r="J366" s="139" t="n"/>
      <c r="K366" s="139" t="n"/>
      <c r="L366" s="164" t="n"/>
      <c r="M366" s="164" t="n"/>
      <c r="N366" s="164" t="n"/>
      <c r="O366" s="164" t="n"/>
      <c r="P366" s="140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39" t="n"/>
      <c r="C367" s="139" t="n"/>
      <c r="D367" s="139" t="n"/>
      <c r="E367" s="139" t="n"/>
      <c r="F367" s="139" t="n"/>
      <c r="G367" s="139" t="n"/>
      <c r="H367" s="139" t="n"/>
      <c r="I367" s="139" t="n"/>
      <c r="J367" s="139" t="n"/>
      <c r="K367" s="139" t="n"/>
      <c r="L367" s="164" t="n"/>
      <c r="M367" s="164" t="n"/>
      <c r="N367" s="164" t="n"/>
      <c r="O367" s="164" t="n"/>
      <c r="P367" s="140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39" t="n"/>
      <c r="C368" s="139" t="n"/>
      <c r="D368" s="139" t="n"/>
      <c r="E368" s="139" t="n"/>
      <c r="F368" s="139" t="n"/>
      <c r="G368" s="139" t="n"/>
      <c r="H368" s="139" t="n"/>
      <c r="I368" s="139" t="n"/>
      <c r="J368" s="139" t="n"/>
      <c r="K368" s="139" t="n"/>
      <c r="L368" s="164" t="n"/>
      <c r="M368" s="164" t="n"/>
      <c r="N368" s="164" t="n"/>
      <c r="O368" s="164" t="n"/>
      <c r="P368" s="140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39" t="n"/>
      <c r="C369" s="139" t="n"/>
      <c r="D369" s="139" t="n"/>
      <c r="E369" s="139" t="n"/>
      <c r="F369" s="139" t="n"/>
      <c r="G369" s="139" t="n"/>
      <c r="H369" s="139" t="n"/>
      <c r="I369" s="139" t="n"/>
      <c r="J369" s="139" t="n"/>
      <c r="K369" s="139" t="n"/>
      <c r="L369" s="164" t="n"/>
      <c r="M369" s="164" t="n"/>
      <c r="N369" s="164" t="n"/>
      <c r="O369" s="164" t="n"/>
      <c r="P369" s="140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39" t="n"/>
      <c r="C370" s="139" t="n"/>
      <c r="D370" s="139" t="n"/>
      <c r="E370" s="139" t="n"/>
      <c r="F370" s="139" t="n"/>
      <c r="G370" s="139" t="n"/>
      <c r="H370" s="139" t="n"/>
      <c r="I370" s="139" t="n"/>
      <c r="J370" s="139" t="n"/>
      <c r="K370" s="139" t="n"/>
      <c r="L370" s="164" t="n"/>
      <c r="M370" s="164" t="n"/>
      <c r="N370" s="164" t="n"/>
      <c r="O370" s="164" t="n"/>
      <c r="P370" s="140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39" t="n"/>
      <c r="C371" s="139" t="n"/>
      <c r="D371" s="139" t="n"/>
      <c r="E371" s="139" t="n"/>
      <c r="F371" s="139" t="n"/>
      <c r="G371" s="139" t="n"/>
      <c r="H371" s="139" t="n"/>
      <c r="I371" s="139" t="n"/>
      <c r="J371" s="139" t="n"/>
      <c r="K371" s="139" t="n"/>
      <c r="L371" s="164" t="n"/>
      <c r="M371" s="164" t="n"/>
      <c r="N371" s="164" t="n"/>
      <c r="O371" s="164" t="n"/>
      <c r="P371" s="140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39" t="n"/>
      <c r="C372" s="139" t="n"/>
      <c r="D372" s="139" t="n"/>
      <c r="E372" s="139" t="n"/>
      <c r="F372" s="139" t="n"/>
      <c r="G372" s="139" t="n"/>
      <c r="H372" s="139" t="n"/>
      <c r="I372" s="139" t="n"/>
      <c r="J372" s="139" t="n"/>
      <c r="K372" s="139" t="n"/>
      <c r="L372" s="164" t="n"/>
      <c r="M372" s="164" t="n"/>
      <c r="N372" s="164" t="n"/>
      <c r="O372" s="164" t="n"/>
      <c r="P372" s="140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39" t="n"/>
      <c r="C373" s="139" t="n"/>
      <c r="D373" s="139" t="n"/>
      <c r="E373" s="139" t="n"/>
      <c r="F373" s="139" t="n"/>
      <c r="G373" s="139" t="n"/>
      <c r="H373" s="139" t="n"/>
      <c r="I373" s="139" t="n"/>
      <c r="J373" s="139" t="n"/>
      <c r="K373" s="139" t="n"/>
      <c r="L373" s="164" t="n"/>
      <c r="M373" s="164" t="n"/>
      <c r="N373" s="164" t="n"/>
      <c r="O373" s="164" t="n"/>
      <c r="P373" s="140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39" t="n"/>
      <c r="C374" s="139" t="n"/>
      <c r="D374" s="139" t="n"/>
      <c r="E374" s="139" t="n"/>
      <c r="F374" s="139" t="n"/>
      <c r="G374" s="139" t="n"/>
      <c r="H374" s="139" t="n"/>
      <c r="I374" s="139" t="n"/>
      <c r="J374" s="139" t="n"/>
      <c r="K374" s="139" t="n"/>
      <c r="L374" s="164" t="n"/>
      <c r="M374" s="164" t="n"/>
      <c r="N374" s="164" t="n"/>
      <c r="O374" s="164" t="n"/>
      <c r="P374" s="140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39" t="n"/>
      <c r="C375" s="139" t="n"/>
      <c r="D375" s="139" t="n"/>
      <c r="E375" s="139" t="n"/>
      <c r="F375" s="139" t="n"/>
      <c r="G375" s="139" t="n"/>
      <c r="H375" s="139" t="n"/>
      <c r="I375" s="139" t="n"/>
      <c r="J375" s="139" t="n"/>
      <c r="K375" s="139" t="n"/>
      <c r="L375" s="164" t="n"/>
      <c r="M375" s="164" t="n"/>
      <c r="N375" s="164" t="n"/>
      <c r="O375" s="164" t="n"/>
      <c r="P375" s="140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39" t="n"/>
      <c r="C376" s="139" t="n"/>
      <c r="D376" s="139" t="n"/>
      <c r="E376" s="139" t="n"/>
      <c r="F376" s="139" t="n"/>
      <c r="G376" s="139" t="n"/>
      <c r="H376" s="139" t="n"/>
      <c r="I376" s="139" t="n"/>
      <c r="J376" s="139" t="n"/>
      <c r="K376" s="139" t="n"/>
      <c r="L376" s="164" t="n"/>
      <c r="M376" s="164" t="n"/>
      <c r="N376" s="164" t="n"/>
      <c r="O376" s="164" t="n"/>
      <c r="P376" s="140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39" t="n"/>
      <c r="C377" s="139" t="n"/>
      <c r="D377" s="139" t="n"/>
      <c r="E377" s="139" t="n"/>
      <c r="F377" s="139" t="n"/>
      <c r="G377" s="139" t="n"/>
      <c r="H377" s="139" t="n"/>
      <c r="I377" s="139" t="n"/>
      <c r="J377" s="139" t="n"/>
      <c r="K377" s="139" t="n"/>
      <c r="L377" s="164" t="n"/>
      <c r="M377" s="164" t="n"/>
      <c r="N377" s="164" t="n"/>
      <c r="O377" s="164" t="n"/>
      <c r="P377" s="140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39" t="n"/>
      <c r="C378" s="139" t="n"/>
      <c r="D378" s="139" t="n"/>
      <c r="E378" s="139" t="n"/>
      <c r="F378" s="139" t="n"/>
      <c r="G378" s="139" t="n"/>
      <c r="H378" s="139" t="n"/>
      <c r="I378" s="139" t="n"/>
      <c r="J378" s="139" t="n"/>
      <c r="K378" s="139" t="n"/>
      <c r="L378" s="164" t="n"/>
      <c r="M378" s="164" t="n"/>
      <c r="N378" s="164" t="n"/>
      <c r="O378" s="164" t="n"/>
      <c r="P378" s="140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39" t="n"/>
      <c r="C379" s="139" t="n"/>
      <c r="D379" s="139" t="n"/>
      <c r="E379" s="139" t="n"/>
      <c r="F379" s="139" t="n"/>
      <c r="G379" s="139" t="n"/>
      <c r="H379" s="139" t="n"/>
      <c r="I379" s="139" t="n"/>
      <c r="J379" s="139" t="n"/>
      <c r="K379" s="139" t="n"/>
      <c r="L379" s="164" t="n"/>
      <c r="M379" s="164" t="n"/>
      <c r="N379" s="164" t="n"/>
      <c r="O379" s="164" t="n"/>
      <c r="P379" s="140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39" t="n"/>
      <c r="C380" s="139" t="n"/>
      <c r="D380" s="139" t="n"/>
      <c r="E380" s="139" t="n"/>
      <c r="F380" s="139" t="n"/>
      <c r="G380" s="139" t="n"/>
      <c r="H380" s="139" t="n"/>
      <c r="I380" s="139" t="n"/>
      <c r="J380" s="139" t="n"/>
      <c r="K380" s="139" t="n"/>
      <c r="L380" s="164" t="n"/>
      <c r="M380" s="164" t="n"/>
      <c r="N380" s="164" t="n"/>
      <c r="O380" s="164" t="n"/>
      <c r="P380" s="140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39" t="n"/>
      <c r="C381" s="139" t="n"/>
      <c r="D381" s="139" t="n"/>
      <c r="E381" s="139" t="n"/>
      <c r="F381" s="139" t="n"/>
      <c r="G381" s="139" t="n"/>
      <c r="H381" s="139" t="n"/>
      <c r="I381" s="139" t="n"/>
      <c r="J381" s="139" t="n"/>
      <c r="K381" s="139" t="n"/>
      <c r="L381" s="164" t="n"/>
      <c r="M381" s="164" t="n"/>
      <c r="N381" s="164" t="n"/>
      <c r="O381" s="164" t="n"/>
      <c r="P381" s="140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39" t="n"/>
      <c r="C382" s="139" t="n"/>
      <c r="D382" s="139" t="n"/>
      <c r="E382" s="139" t="n"/>
      <c r="F382" s="139" t="n"/>
      <c r="G382" s="139" t="n"/>
      <c r="H382" s="139" t="n"/>
      <c r="I382" s="139" t="n"/>
      <c r="J382" s="139" t="n"/>
      <c r="K382" s="139" t="n"/>
      <c r="L382" s="164" t="n"/>
      <c r="M382" s="164" t="n"/>
      <c r="N382" s="164" t="n"/>
      <c r="O382" s="164" t="n"/>
      <c r="P382" s="140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39" t="n"/>
      <c r="C383" s="139" t="n"/>
      <c r="D383" s="139" t="n"/>
      <c r="E383" s="139" t="n"/>
      <c r="F383" s="139" t="n"/>
      <c r="G383" s="139" t="n"/>
      <c r="H383" s="139" t="n"/>
      <c r="I383" s="139" t="n"/>
      <c r="J383" s="139" t="n"/>
      <c r="K383" s="139" t="n"/>
      <c r="L383" s="164" t="n"/>
      <c r="M383" s="164" t="n"/>
      <c r="N383" s="164" t="n"/>
      <c r="O383" s="164" t="n"/>
      <c r="P383" s="140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39" t="n"/>
      <c r="C384" s="139" t="n"/>
      <c r="D384" s="139" t="n"/>
      <c r="E384" s="139" t="n"/>
      <c r="F384" s="139" t="n"/>
      <c r="G384" s="139" t="n"/>
      <c r="H384" s="139" t="n"/>
      <c r="I384" s="139" t="n"/>
      <c r="J384" s="139" t="n"/>
      <c r="K384" s="139" t="n"/>
      <c r="L384" s="164" t="n"/>
      <c r="M384" s="164" t="n"/>
      <c r="N384" s="164" t="n"/>
      <c r="O384" s="164" t="n"/>
      <c r="P384" s="140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39" t="n"/>
      <c r="C385" s="139" t="n"/>
      <c r="D385" s="139" t="n"/>
      <c r="E385" s="139" t="n"/>
      <c r="F385" s="139" t="n"/>
      <c r="G385" s="139" t="n"/>
      <c r="H385" s="139" t="n"/>
      <c r="I385" s="139" t="n"/>
      <c r="J385" s="139" t="n"/>
      <c r="K385" s="139" t="n"/>
      <c r="L385" s="164" t="n"/>
      <c r="M385" s="164" t="n"/>
      <c r="N385" s="164" t="n"/>
      <c r="O385" s="164" t="n"/>
      <c r="P385" s="140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39" t="n"/>
      <c r="C386" s="139" t="n"/>
      <c r="D386" s="139" t="n"/>
      <c r="E386" s="139" t="n"/>
      <c r="F386" s="139" t="n"/>
      <c r="G386" s="139" t="n"/>
      <c r="H386" s="139" t="n"/>
      <c r="I386" s="139" t="n"/>
      <c r="J386" s="139" t="n"/>
      <c r="K386" s="139" t="n"/>
      <c r="L386" s="164" t="n"/>
      <c r="M386" s="164" t="n"/>
      <c r="N386" s="164" t="n"/>
      <c r="O386" s="164" t="n"/>
      <c r="P386" s="140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39" t="n"/>
      <c r="C387" s="139" t="n"/>
      <c r="D387" s="139" t="n"/>
      <c r="E387" s="139" t="n"/>
      <c r="F387" s="139" t="n"/>
      <c r="G387" s="139" t="n"/>
      <c r="H387" s="139" t="n"/>
      <c r="I387" s="139" t="n"/>
      <c r="J387" s="139" t="n"/>
      <c r="K387" s="139" t="n"/>
      <c r="L387" s="164" t="n"/>
      <c r="M387" s="164" t="n"/>
      <c r="N387" s="164" t="n"/>
      <c r="O387" s="164" t="n"/>
      <c r="P387" s="140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39" t="n"/>
      <c r="C388" s="139" t="n"/>
      <c r="D388" s="139" t="n"/>
      <c r="E388" s="139" t="n"/>
      <c r="F388" s="139" t="n"/>
      <c r="G388" s="139" t="n"/>
      <c r="H388" s="139" t="n"/>
      <c r="I388" s="139" t="n"/>
      <c r="J388" s="139" t="n"/>
      <c r="K388" s="139" t="n"/>
      <c r="L388" s="164" t="n"/>
      <c r="M388" s="164" t="n"/>
      <c r="N388" s="164" t="n"/>
      <c r="O388" s="164" t="n"/>
      <c r="P388" s="140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39" t="n"/>
      <c r="C389" s="139" t="n"/>
      <c r="D389" s="139" t="n"/>
      <c r="E389" s="139" t="n"/>
      <c r="F389" s="139" t="n"/>
      <c r="G389" s="139" t="n"/>
      <c r="H389" s="139" t="n"/>
      <c r="I389" s="139" t="n"/>
      <c r="J389" s="139" t="n"/>
      <c r="K389" s="139" t="n"/>
      <c r="L389" s="164" t="n"/>
      <c r="M389" s="164" t="n"/>
      <c r="N389" s="164" t="n"/>
      <c r="O389" s="164" t="n"/>
      <c r="P389" s="140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39" t="n"/>
      <c r="C390" s="139" t="n"/>
      <c r="D390" s="139" t="n"/>
      <c r="E390" s="139" t="n"/>
      <c r="F390" s="139" t="n"/>
      <c r="G390" s="139" t="n"/>
      <c r="H390" s="139" t="n"/>
      <c r="I390" s="139" t="n"/>
      <c r="J390" s="139" t="n"/>
      <c r="K390" s="139" t="n"/>
      <c r="L390" s="164" t="n"/>
      <c r="M390" s="164" t="n"/>
      <c r="N390" s="164" t="n"/>
      <c r="O390" s="164" t="n"/>
      <c r="P390" s="140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39" t="n"/>
      <c r="C391" s="139" t="n"/>
      <c r="D391" s="139" t="n"/>
      <c r="E391" s="139" t="n"/>
      <c r="F391" s="139" t="n"/>
      <c r="G391" s="139" t="n"/>
      <c r="H391" s="139" t="n"/>
      <c r="I391" s="139" t="n"/>
      <c r="J391" s="139" t="n"/>
      <c r="K391" s="139" t="n"/>
      <c r="L391" s="164" t="n"/>
      <c r="M391" s="164" t="n"/>
      <c r="N391" s="164" t="n"/>
      <c r="O391" s="164" t="n"/>
      <c r="P391" s="140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39" t="n"/>
      <c r="C392" s="139" t="n"/>
      <c r="D392" s="139" t="n"/>
      <c r="E392" s="139" t="n"/>
      <c r="F392" s="139" t="n"/>
      <c r="G392" s="139" t="n"/>
      <c r="H392" s="139" t="n"/>
      <c r="I392" s="139" t="n"/>
      <c r="J392" s="139" t="n"/>
      <c r="K392" s="139" t="n"/>
      <c r="L392" s="164" t="n"/>
      <c r="M392" s="164" t="n"/>
      <c r="N392" s="164" t="n"/>
      <c r="O392" s="164" t="n"/>
      <c r="P392" s="140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39" t="n"/>
      <c r="C393" s="139" t="n"/>
      <c r="D393" s="139" t="n"/>
      <c r="E393" s="139" t="n"/>
      <c r="F393" s="139" t="n"/>
      <c r="G393" s="139" t="n"/>
      <c r="H393" s="139" t="n"/>
      <c r="I393" s="139" t="n"/>
      <c r="J393" s="139" t="n"/>
      <c r="K393" s="139" t="n"/>
      <c r="L393" s="164" t="n"/>
      <c r="M393" s="164" t="n"/>
      <c r="N393" s="164" t="n"/>
      <c r="O393" s="164" t="n"/>
      <c r="P393" s="140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39" t="n"/>
      <c r="C394" s="139" t="n"/>
      <c r="D394" s="139" t="n"/>
      <c r="E394" s="139" t="n"/>
      <c r="F394" s="139" t="n"/>
      <c r="G394" s="139" t="n"/>
      <c r="H394" s="139" t="n"/>
      <c r="I394" s="139" t="n"/>
      <c r="J394" s="139" t="n"/>
      <c r="K394" s="139" t="n"/>
      <c r="L394" s="164" t="n"/>
      <c r="M394" s="164" t="n"/>
      <c r="N394" s="164" t="n"/>
      <c r="O394" s="164" t="n"/>
      <c r="P394" s="140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39" t="n"/>
      <c r="C395" s="139" t="n"/>
      <c r="D395" s="139" t="n"/>
      <c r="E395" s="139" t="n"/>
      <c r="F395" s="139" t="n"/>
      <c r="G395" s="139" t="n"/>
      <c r="H395" s="139" t="n"/>
      <c r="I395" s="139" t="n"/>
      <c r="J395" s="139" t="n"/>
      <c r="K395" s="139" t="n"/>
      <c r="L395" s="164" t="n"/>
      <c r="M395" s="164" t="n"/>
      <c r="N395" s="164" t="n"/>
      <c r="O395" s="164" t="n"/>
      <c r="P395" s="140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39" t="n"/>
      <c r="C396" s="139" t="n"/>
      <c r="D396" s="139" t="n"/>
      <c r="E396" s="139" t="n"/>
      <c r="F396" s="139" t="n"/>
      <c r="G396" s="139" t="n"/>
      <c r="H396" s="139" t="n"/>
      <c r="I396" s="139" t="n"/>
      <c r="J396" s="139" t="n"/>
      <c r="K396" s="139" t="n"/>
      <c r="L396" s="164" t="n"/>
      <c r="M396" s="164" t="n"/>
      <c r="N396" s="164" t="n"/>
      <c r="O396" s="164" t="n"/>
      <c r="P396" s="140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39" t="n"/>
      <c r="C397" s="139" t="n"/>
      <c r="D397" s="139" t="n"/>
      <c r="E397" s="139" t="n"/>
      <c r="F397" s="139" t="n"/>
      <c r="G397" s="139" t="n"/>
      <c r="H397" s="139" t="n"/>
      <c r="I397" s="139" t="n"/>
      <c r="J397" s="139" t="n"/>
      <c r="K397" s="139" t="n"/>
      <c r="L397" s="164" t="n"/>
      <c r="M397" s="164" t="n"/>
      <c r="N397" s="164" t="n"/>
      <c r="O397" s="164" t="n"/>
      <c r="P397" s="140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39" t="n"/>
      <c r="C398" s="139" t="n"/>
      <c r="D398" s="139" t="n"/>
      <c r="E398" s="139" t="n"/>
      <c r="F398" s="139" t="n"/>
      <c r="G398" s="139" t="n"/>
      <c r="H398" s="139" t="n"/>
      <c r="I398" s="139" t="n"/>
      <c r="J398" s="139" t="n"/>
      <c r="K398" s="139" t="n"/>
      <c r="L398" s="164" t="n"/>
      <c r="M398" s="164" t="n"/>
      <c r="N398" s="164" t="n"/>
      <c r="O398" s="164" t="n"/>
      <c r="P398" s="140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39" t="n"/>
      <c r="C399" s="139" t="n"/>
      <c r="D399" s="139" t="n"/>
      <c r="E399" s="139" t="n"/>
      <c r="F399" s="139" t="n"/>
      <c r="G399" s="139" t="n"/>
      <c r="H399" s="139" t="n"/>
      <c r="I399" s="139" t="n"/>
      <c r="J399" s="139" t="n"/>
      <c r="K399" s="139" t="n"/>
      <c r="L399" s="164" t="n"/>
      <c r="M399" s="164" t="n"/>
      <c r="N399" s="164" t="n"/>
      <c r="O399" s="164" t="n"/>
      <c r="P399" s="140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39" t="n"/>
      <c r="C400" s="139" t="n"/>
      <c r="D400" s="139" t="n"/>
      <c r="E400" s="139" t="n"/>
      <c r="F400" s="139" t="n"/>
      <c r="G400" s="139" t="n"/>
      <c r="H400" s="139" t="n"/>
      <c r="I400" s="139" t="n"/>
      <c r="J400" s="139" t="n"/>
      <c r="K400" s="139" t="n"/>
      <c r="L400" s="164" t="n"/>
      <c r="M400" s="164" t="n"/>
      <c r="N400" s="164" t="n"/>
      <c r="O400" s="164" t="n"/>
      <c r="P400" s="140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39" t="n"/>
      <c r="C401" s="139" t="n"/>
      <c r="D401" s="139" t="n"/>
      <c r="E401" s="139" t="n"/>
      <c r="F401" s="139" t="n"/>
      <c r="G401" s="139" t="n"/>
      <c r="H401" s="139" t="n"/>
      <c r="I401" s="139" t="n"/>
      <c r="J401" s="139" t="n"/>
      <c r="K401" s="139" t="n"/>
      <c r="L401" s="164" t="n"/>
      <c r="M401" s="164" t="n"/>
      <c r="N401" s="164" t="n"/>
      <c r="O401" s="164" t="n"/>
      <c r="P401" s="140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39" t="n"/>
      <c r="C402" s="139" t="n"/>
      <c r="D402" s="139" t="n"/>
      <c r="E402" s="139" t="n"/>
      <c r="F402" s="139" t="n"/>
      <c r="G402" s="139" t="n"/>
      <c r="H402" s="139" t="n"/>
      <c r="I402" s="139" t="n"/>
      <c r="J402" s="139" t="n"/>
      <c r="K402" s="139" t="n"/>
      <c r="L402" s="164" t="n"/>
      <c r="M402" s="164" t="n"/>
      <c r="N402" s="164" t="n"/>
      <c r="O402" s="164" t="n"/>
      <c r="P402" s="140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39" t="n"/>
      <c r="C403" s="139" t="n"/>
      <c r="D403" s="139" t="n"/>
      <c r="E403" s="139" t="n"/>
      <c r="F403" s="139" t="n"/>
      <c r="G403" s="139" t="n"/>
      <c r="H403" s="139" t="n"/>
      <c r="I403" s="139" t="n"/>
      <c r="J403" s="139" t="n"/>
      <c r="K403" s="139" t="n"/>
      <c r="L403" s="164" t="n"/>
      <c r="M403" s="164" t="n"/>
      <c r="N403" s="164" t="n"/>
      <c r="O403" s="164" t="n"/>
      <c r="P403" s="140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39" t="n"/>
      <c r="C404" s="139" t="n"/>
      <c r="D404" s="139" t="n"/>
      <c r="E404" s="139" t="n"/>
      <c r="F404" s="139" t="n"/>
      <c r="G404" s="139" t="n"/>
      <c r="H404" s="139" t="n"/>
      <c r="I404" s="139" t="n"/>
      <c r="J404" s="139" t="n"/>
      <c r="K404" s="139" t="n"/>
      <c r="L404" s="164" t="n"/>
      <c r="M404" s="164" t="n"/>
      <c r="N404" s="164" t="n"/>
      <c r="O404" s="164" t="n"/>
      <c r="P404" s="140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39" t="n"/>
      <c r="C405" s="139" t="n"/>
      <c r="D405" s="139" t="n"/>
      <c r="E405" s="139" t="n"/>
      <c r="F405" s="139" t="n"/>
      <c r="G405" s="139" t="n"/>
      <c r="H405" s="139" t="n"/>
      <c r="I405" s="139" t="n"/>
      <c r="J405" s="139" t="n"/>
      <c r="K405" s="139" t="n"/>
      <c r="L405" s="164" t="n"/>
      <c r="M405" s="164" t="n"/>
      <c r="N405" s="164" t="n"/>
      <c r="O405" s="164" t="n"/>
      <c r="P405" s="140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39" t="n"/>
      <c r="C406" s="139" t="n"/>
      <c r="D406" s="139" t="n"/>
      <c r="E406" s="139" t="n"/>
      <c r="F406" s="139" t="n"/>
      <c r="G406" s="139" t="n"/>
      <c r="H406" s="139" t="n"/>
      <c r="I406" s="139" t="n"/>
      <c r="J406" s="139" t="n"/>
      <c r="K406" s="139" t="n"/>
      <c r="L406" s="164" t="n"/>
      <c r="M406" s="164" t="n"/>
      <c r="N406" s="164" t="n"/>
      <c r="O406" s="164" t="n"/>
      <c r="P406" s="140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39" t="n"/>
      <c r="C407" s="139" t="n"/>
      <c r="D407" s="139" t="n"/>
      <c r="E407" s="139" t="n"/>
      <c r="F407" s="139" t="n"/>
      <c r="G407" s="139" t="n"/>
      <c r="H407" s="139" t="n"/>
      <c r="I407" s="139" t="n"/>
      <c r="J407" s="139" t="n"/>
      <c r="K407" s="139" t="n"/>
      <c r="L407" s="164" t="n"/>
      <c r="M407" s="164" t="n"/>
      <c r="N407" s="164" t="n"/>
      <c r="O407" s="164" t="n"/>
      <c r="P407" s="140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39" t="n"/>
      <c r="C408" s="139" t="n"/>
      <c r="D408" s="139" t="n"/>
      <c r="E408" s="139" t="n"/>
      <c r="F408" s="139" t="n"/>
      <c r="G408" s="139" t="n"/>
      <c r="H408" s="139" t="n"/>
      <c r="I408" s="139" t="n"/>
      <c r="J408" s="139" t="n"/>
      <c r="K408" s="139" t="n"/>
      <c r="L408" s="164" t="n"/>
      <c r="M408" s="164" t="n"/>
      <c r="N408" s="164" t="n"/>
      <c r="O408" s="164" t="n"/>
      <c r="P408" s="140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39" t="n"/>
      <c r="C409" s="139" t="n"/>
      <c r="D409" s="139" t="n"/>
      <c r="E409" s="139" t="n"/>
      <c r="F409" s="139" t="n"/>
      <c r="G409" s="139" t="n"/>
      <c r="H409" s="139" t="n"/>
      <c r="I409" s="139" t="n"/>
      <c r="J409" s="139" t="n"/>
      <c r="K409" s="139" t="n"/>
      <c r="L409" s="164" t="n"/>
      <c r="M409" s="164" t="n"/>
      <c r="N409" s="164" t="n"/>
      <c r="O409" s="164" t="n"/>
      <c r="P409" s="140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39" t="n"/>
      <c r="C410" s="139" t="n"/>
      <c r="D410" s="139" t="n"/>
      <c r="E410" s="139" t="n"/>
      <c r="F410" s="139" t="n"/>
      <c r="G410" s="139" t="n"/>
      <c r="H410" s="139" t="n"/>
      <c r="I410" s="139" t="n"/>
      <c r="J410" s="139" t="n"/>
      <c r="K410" s="139" t="n"/>
      <c r="L410" s="164" t="n"/>
      <c r="M410" s="164" t="n"/>
      <c r="N410" s="164" t="n"/>
      <c r="O410" s="164" t="n"/>
      <c r="P410" s="140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39" t="n"/>
      <c r="C411" s="139" t="n"/>
      <c r="D411" s="139" t="n"/>
      <c r="E411" s="139" t="n"/>
      <c r="F411" s="139" t="n"/>
      <c r="G411" s="139" t="n"/>
      <c r="H411" s="139" t="n"/>
      <c r="I411" s="139" t="n"/>
      <c r="J411" s="139" t="n"/>
      <c r="K411" s="139" t="n"/>
      <c r="L411" s="164" t="n"/>
      <c r="M411" s="164" t="n"/>
      <c r="N411" s="164" t="n"/>
      <c r="O411" s="164" t="n"/>
      <c r="P411" s="140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39" t="n"/>
      <c r="C412" s="139" t="n"/>
      <c r="D412" s="139" t="n"/>
      <c r="E412" s="139" t="n"/>
      <c r="F412" s="139" t="n"/>
      <c r="G412" s="139" t="n"/>
      <c r="H412" s="139" t="n"/>
      <c r="I412" s="139" t="n"/>
      <c r="J412" s="139" t="n"/>
      <c r="K412" s="139" t="n"/>
      <c r="L412" s="164" t="n"/>
      <c r="M412" s="164" t="n"/>
      <c r="N412" s="164" t="n"/>
      <c r="O412" s="164" t="n"/>
      <c r="P412" s="140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39" t="n"/>
      <c r="C413" s="139" t="n"/>
      <c r="D413" s="139" t="n"/>
      <c r="E413" s="139" t="n"/>
      <c r="F413" s="139" t="n"/>
      <c r="G413" s="139" t="n"/>
      <c r="H413" s="139" t="n"/>
      <c r="I413" s="139" t="n"/>
      <c r="J413" s="139" t="n"/>
      <c r="K413" s="139" t="n"/>
      <c r="L413" s="164" t="n"/>
      <c r="M413" s="164" t="n"/>
      <c r="N413" s="164" t="n"/>
      <c r="O413" s="164" t="n"/>
      <c r="P413" s="140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39" t="n"/>
      <c r="C414" s="139" t="n"/>
      <c r="D414" s="139" t="n"/>
      <c r="E414" s="139" t="n"/>
      <c r="F414" s="139" t="n"/>
      <c r="G414" s="139" t="n"/>
      <c r="H414" s="139" t="n"/>
      <c r="I414" s="139" t="n"/>
      <c r="J414" s="139" t="n"/>
      <c r="K414" s="139" t="n"/>
      <c r="L414" s="164" t="n"/>
      <c r="M414" s="164" t="n"/>
      <c r="N414" s="164" t="n"/>
      <c r="O414" s="164" t="n"/>
      <c r="P414" s="140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39" t="n"/>
      <c r="C415" s="139" t="n"/>
      <c r="D415" s="139" t="n"/>
      <c r="E415" s="139" t="n"/>
      <c r="F415" s="139" t="n"/>
      <c r="G415" s="139" t="n"/>
      <c r="H415" s="139" t="n"/>
      <c r="I415" s="139" t="n"/>
      <c r="J415" s="139" t="n"/>
      <c r="K415" s="139" t="n"/>
      <c r="L415" s="164" t="n"/>
      <c r="M415" s="164" t="n"/>
      <c r="N415" s="164" t="n"/>
      <c r="O415" s="164" t="n"/>
      <c r="P415" s="140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39" t="n"/>
      <c r="C416" s="139" t="n"/>
      <c r="D416" s="139" t="n"/>
      <c r="E416" s="139" t="n"/>
      <c r="F416" s="139" t="n"/>
      <c r="G416" s="139" t="n"/>
      <c r="H416" s="139" t="n"/>
      <c r="I416" s="139" t="n"/>
      <c r="J416" s="139" t="n"/>
      <c r="K416" s="139" t="n"/>
      <c r="L416" s="164" t="n"/>
      <c r="M416" s="164" t="n"/>
      <c r="N416" s="164" t="n"/>
      <c r="O416" s="164" t="n"/>
      <c r="P416" s="140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39" t="n"/>
      <c r="C417" s="139" t="n"/>
      <c r="D417" s="139" t="n"/>
      <c r="E417" s="139" t="n"/>
      <c r="F417" s="139" t="n"/>
      <c r="G417" s="139" t="n"/>
      <c r="H417" s="139" t="n"/>
      <c r="I417" s="139" t="n"/>
      <c r="J417" s="139" t="n"/>
      <c r="K417" s="139" t="n"/>
      <c r="L417" s="164" t="n"/>
      <c r="M417" s="164" t="n"/>
      <c r="N417" s="164" t="n"/>
      <c r="O417" s="164" t="n"/>
      <c r="P417" s="140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39" t="n"/>
      <c r="C418" s="139" t="n"/>
      <c r="D418" s="139" t="n"/>
      <c r="E418" s="139" t="n"/>
      <c r="F418" s="139" t="n"/>
      <c r="G418" s="139" t="n"/>
      <c r="H418" s="139" t="n"/>
      <c r="I418" s="139" t="n"/>
      <c r="J418" s="139" t="n"/>
      <c r="K418" s="139" t="n"/>
      <c r="L418" s="164" t="n"/>
      <c r="M418" s="164" t="n"/>
      <c r="N418" s="164" t="n"/>
      <c r="O418" s="164" t="n"/>
      <c r="P418" s="140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39" t="n"/>
      <c r="C419" s="139" t="n"/>
      <c r="D419" s="139" t="n"/>
      <c r="E419" s="139" t="n"/>
      <c r="F419" s="139" t="n"/>
      <c r="G419" s="139" t="n"/>
      <c r="H419" s="139" t="n"/>
      <c r="I419" s="139" t="n"/>
      <c r="J419" s="139" t="n"/>
      <c r="K419" s="139" t="n"/>
      <c r="L419" s="164" t="n"/>
      <c r="M419" s="164" t="n"/>
      <c r="N419" s="164" t="n"/>
      <c r="O419" s="164" t="n"/>
      <c r="P419" s="140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39" t="n"/>
      <c r="C420" s="139" t="n"/>
      <c r="D420" s="139" t="n"/>
      <c r="E420" s="139" t="n"/>
      <c r="F420" s="139" t="n"/>
      <c r="G420" s="139" t="n"/>
      <c r="H420" s="139" t="n"/>
      <c r="I420" s="139" t="n"/>
      <c r="J420" s="139" t="n"/>
      <c r="K420" s="139" t="n"/>
      <c r="L420" s="164" t="n"/>
      <c r="M420" s="164" t="n"/>
      <c r="N420" s="164" t="n"/>
      <c r="O420" s="164" t="n"/>
      <c r="P420" s="140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39" t="n"/>
      <c r="C421" s="139" t="n"/>
      <c r="D421" s="139" t="n"/>
      <c r="E421" s="139" t="n"/>
      <c r="F421" s="139" t="n"/>
      <c r="G421" s="139" t="n"/>
      <c r="H421" s="139" t="n"/>
      <c r="I421" s="139" t="n"/>
      <c r="J421" s="139" t="n"/>
      <c r="K421" s="139" t="n"/>
      <c r="L421" s="164" t="n"/>
      <c r="M421" s="164" t="n"/>
      <c r="N421" s="164" t="n"/>
      <c r="O421" s="164" t="n"/>
      <c r="P421" s="140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39" t="n"/>
      <c r="C422" s="139" t="n"/>
      <c r="D422" s="139" t="n"/>
      <c r="E422" s="139" t="n"/>
      <c r="F422" s="139" t="n"/>
      <c r="G422" s="139" t="n"/>
      <c r="H422" s="139" t="n"/>
      <c r="I422" s="139" t="n"/>
      <c r="J422" s="139" t="n"/>
      <c r="K422" s="139" t="n"/>
      <c r="L422" s="164" t="n"/>
      <c r="M422" s="164" t="n"/>
      <c r="N422" s="164" t="n"/>
      <c r="O422" s="164" t="n"/>
      <c r="P422" s="140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39" t="n"/>
      <c r="C423" s="139" t="n"/>
      <c r="D423" s="139" t="n"/>
      <c r="E423" s="139" t="n"/>
      <c r="F423" s="139" t="n"/>
      <c r="G423" s="139" t="n"/>
      <c r="H423" s="139" t="n"/>
      <c r="I423" s="139" t="n"/>
      <c r="J423" s="139" t="n"/>
      <c r="K423" s="139" t="n"/>
      <c r="L423" s="164" t="n"/>
      <c r="M423" s="164" t="n"/>
      <c r="N423" s="164" t="n"/>
      <c r="O423" s="164" t="n"/>
      <c r="P423" s="140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39" t="n"/>
      <c r="C424" s="139" t="n"/>
      <c r="D424" s="139" t="n"/>
      <c r="E424" s="139" t="n"/>
      <c r="F424" s="139" t="n"/>
      <c r="G424" s="139" t="n"/>
      <c r="H424" s="139" t="n"/>
      <c r="I424" s="139" t="n"/>
      <c r="J424" s="139" t="n"/>
      <c r="K424" s="139" t="n"/>
      <c r="L424" s="164" t="n"/>
      <c r="M424" s="164" t="n"/>
      <c r="N424" s="164" t="n"/>
      <c r="O424" s="164" t="n"/>
      <c r="P424" s="140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39" t="n"/>
      <c r="C425" s="139" t="n"/>
      <c r="D425" s="139" t="n"/>
      <c r="E425" s="139" t="n"/>
      <c r="F425" s="139" t="n"/>
      <c r="G425" s="139" t="n"/>
      <c r="H425" s="139" t="n"/>
      <c r="I425" s="139" t="n"/>
      <c r="J425" s="139" t="n"/>
      <c r="K425" s="139" t="n"/>
      <c r="L425" s="164" t="n"/>
      <c r="M425" s="164" t="n"/>
      <c r="N425" s="164" t="n"/>
      <c r="O425" s="164" t="n"/>
      <c r="P425" s="140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39" t="n"/>
      <c r="C426" s="139" t="n"/>
      <c r="D426" s="139" t="n"/>
      <c r="E426" s="139" t="n"/>
      <c r="F426" s="139" t="n"/>
      <c r="G426" s="139" t="n"/>
      <c r="H426" s="139" t="n"/>
      <c r="I426" s="139" t="n"/>
      <c r="J426" s="139" t="n"/>
      <c r="K426" s="139" t="n"/>
      <c r="L426" s="164" t="n"/>
      <c r="M426" s="164" t="n"/>
      <c r="N426" s="164" t="n"/>
      <c r="O426" s="164" t="n"/>
      <c r="P426" s="140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39" t="n"/>
      <c r="C427" s="139" t="n"/>
      <c r="D427" s="139" t="n"/>
      <c r="E427" s="139" t="n"/>
      <c r="F427" s="139" t="n"/>
      <c r="G427" s="139" t="n"/>
      <c r="H427" s="139" t="n"/>
      <c r="I427" s="139" t="n"/>
      <c r="J427" s="139" t="n"/>
      <c r="K427" s="139" t="n"/>
      <c r="L427" s="164" t="n"/>
      <c r="M427" s="164" t="n"/>
      <c r="N427" s="164" t="n"/>
      <c r="O427" s="164" t="n"/>
      <c r="P427" s="140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39" t="n"/>
      <c r="C428" s="139" t="n"/>
      <c r="D428" s="139" t="n"/>
      <c r="E428" s="139" t="n"/>
      <c r="F428" s="139" t="n"/>
      <c r="G428" s="139" t="n"/>
      <c r="H428" s="139" t="n"/>
      <c r="I428" s="139" t="n"/>
      <c r="J428" s="139" t="n"/>
      <c r="K428" s="139" t="n"/>
      <c r="L428" s="164" t="n"/>
      <c r="M428" s="164" t="n"/>
      <c r="N428" s="164" t="n"/>
      <c r="O428" s="164" t="n"/>
      <c r="P428" s="140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39" t="n"/>
      <c r="C429" s="139" t="n"/>
      <c r="D429" s="139" t="n"/>
      <c r="E429" s="139" t="n"/>
      <c r="F429" s="139" t="n"/>
      <c r="G429" s="139" t="n"/>
      <c r="H429" s="139" t="n"/>
      <c r="I429" s="139" t="n"/>
      <c r="J429" s="139" t="n"/>
      <c r="K429" s="139" t="n"/>
      <c r="L429" s="164" t="n"/>
      <c r="M429" s="164" t="n"/>
      <c r="N429" s="164" t="n"/>
      <c r="O429" s="164" t="n"/>
      <c r="P429" s="140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39" t="n"/>
      <c r="C430" s="139" t="n"/>
      <c r="D430" s="139" t="n"/>
      <c r="E430" s="139" t="n"/>
      <c r="F430" s="139" t="n"/>
      <c r="G430" s="139" t="n"/>
      <c r="H430" s="139" t="n"/>
      <c r="I430" s="139" t="n"/>
      <c r="J430" s="139" t="n"/>
      <c r="K430" s="139" t="n"/>
      <c r="L430" s="164" t="n"/>
      <c r="M430" s="164" t="n"/>
      <c r="N430" s="164" t="n"/>
      <c r="O430" s="164" t="n"/>
      <c r="P430" s="140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39" t="n"/>
      <c r="C431" s="139" t="n"/>
      <c r="D431" s="139" t="n"/>
      <c r="E431" s="139" t="n"/>
      <c r="F431" s="139" t="n"/>
      <c r="G431" s="139" t="n"/>
      <c r="H431" s="139" t="n"/>
      <c r="I431" s="139" t="n"/>
      <c r="J431" s="139" t="n"/>
      <c r="K431" s="139" t="n"/>
      <c r="L431" s="164" t="n"/>
      <c r="M431" s="164" t="n"/>
      <c r="N431" s="164" t="n"/>
      <c r="O431" s="164" t="n"/>
      <c r="P431" s="140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39" t="n"/>
      <c r="C432" s="139" t="n"/>
      <c r="D432" s="139" t="n"/>
      <c r="E432" s="139" t="n"/>
      <c r="F432" s="139" t="n"/>
      <c r="G432" s="139" t="n"/>
      <c r="H432" s="139" t="n"/>
      <c r="I432" s="139" t="n"/>
      <c r="J432" s="139" t="n"/>
      <c r="K432" s="139" t="n"/>
      <c r="L432" s="164" t="n"/>
      <c r="M432" s="164" t="n"/>
      <c r="N432" s="164" t="n"/>
      <c r="O432" s="164" t="n"/>
      <c r="P432" s="140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39" t="n"/>
      <c r="C433" s="139" t="n"/>
      <c r="D433" s="139" t="n"/>
      <c r="E433" s="139" t="n"/>
      <c r="F433" s="139" t="n"/>
      <c r="G433" s="139" t="n"/>
      <c r="H433" s="139" t="n"/>
      <c r="I433" s="139" t="n"/>
      <c r="J433" s="139" t="n"/>
      <c r="K433" s="139" t="n"/>
      <c r="L433" s="164" t="n"/>
      <c r="M433" s="164" t="n"/>
      <c r="N433" s="164" t="n"/>
      <c r="O433" s="164" t="n"/>
      <c r="P433" s="140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39" t="n"/>
      <c r="C434" s="139" t="n"/>
      <c r="D434" s="139" t="n"/>
      <c r="E434" s="139" t="n"/>
      <c r="F434" s="139" t="n"/>
      <c r="G434" s="139" t="n"/>
      <c r="H434" s="139" t="n"/>
      <c r="I434" s="139" t="n"/>
      <c r="J434" s="139" t="n"/>
      <c r="K434" s="139" t="n"/>
      <c r="L434" s="164" t="n"/>
      <c r="M434" s="164" t="n"/>
      <c r="N434" s="164" t="n"/>
      <c r="O434" s="164" t="n"/>
      <c r="P434" s="140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39" t="n"/>
      <c r="C435" s="139" t="n"/>
      <c r="D435" s="139" t="n"/>
      <c r="E435" s="139" t="n"/>
      <c r="F435" s="139" t="n"/>
      <c r="G435" s="139" t="n"/>
      <c r="H435" s="139" t="n"/>
      <c r="I435" s="139" t="n"/>
      <c r="J435" s="139" t="n"/>
      <c r="K435" s="139" t="n"/>
      <c r="L435" s="164" t="n"/>
      <c r="M435" s="164" t="n"/>
      <c r="N435" s="164" t="n"/>
      <c r="O435" s="164" t="n"/>
      <c r="P435" s="140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39" t="n"/>
      <c r="C436" s="139" t="n"/>
      <c r="D436" s="139" t="n"/>
      <c r="E436" s="139" t="n"/>
      <c r="F436" s="139" t="n"/>
      <c r="G436" s="139" t="n"/>
      <c r="H436" s="139" t="n"/>
      <c r="I436" s="139" t="n"/>
      <c r="J436" s="139" t="n"/>
      <c r="K436" s="139" t="n"/>
      <c r="L436" s="164" t="n"/>
      <c r="M436" s="164" t="n"/>
      <c r="N436" s="164" t="n"/>
      <c r="O436" s="164" t="n"/>
      <c r="P436" s="140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39" t="n"/>
      <c r="C437" s="139" t="n"/>
      <c r="D437" s="139" t="n"/>
      <c r="E437" s="139" t="n"/>
      <c r="F437" s="139" t="n"/>
      <c r="G437" s="139" t="n"/>
      <c r="H437" s="139" t="n"/>
      <c r="I437" s="139" t="n"/>
      <c r="J437" s="139" t="n"/>
      <c r="K437" s="139" t="n"/>
      <c r="L437" s="164" t="n"/>
      <c r="M437" s="164" t="n"/>
      <c r="N437" s="164" t="n"/>
      <c r="O437" s="164" t="n"/>
      <c r="P437" s="140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39" t="n"/>
      <c r="C438" s="139" t="n"/>
      <c r="D438" s="139" t="n"/>
      <c r="E438" s="139" t="n"/>
      <c r="F438" s="139" t="n"/>
      <c r="G438" s="139" t="n"/>
      <c r="H438" s="139" t="n"/>
      <c r="I438" s="139" t="n"/>
      <c r="J438" s="139" t="n"/>
      <c r="K438" s="139" t="n"/>
      <c r="L438" s="164" t="n"/>
      <c r="M438" s="164" t="n"/>
      <c r="N438" s="164" t="n"/>
      <c r="O438" s="164" t="n"/>
      <c r="P438" s="140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39" t="n"/>
      <c r="C439" s="139" t="n"/>
      <c r="D439" s="139" t="n"/>
      <c r="E439" s="139" t="n"/>
      <c r="F439" s="139" t="n"/>
      <c r="G439" s="139" t="n"/>
      <c r="H439" s="139" t="n"/>
      <c r="I439" s="139" t="n"/>
      <c r="J439" s="139" t="n"/>
      <c r="K439" s="139" t="n"/>
      <c r="L439" s="164" t="n"/>
      <c r="M439" s="164" t="n"/>
      <c r="N439" s="164" t="n"/>
      <c r="O439" s="164" t="n"/>
      <c r="P439" s="140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39" t="n"/>
      <c r="C440" s="139" t="n"/>
      <c r="D440" s="139" t="n"/>
      <c r="E440" s="139" t="n"/>
      <c r="F440" s="139" t="n"/>
      <c r="G440" s="139" t="n"/>
      <c r="H440" s="139" t="n"/>
      <c r="I440" s="139" t="n"/>
      <c r="J440" s="139" t="n"/>
      <c r="K440" s="139" t="n"/>
      <c r="L440" s="164" t="n"/>
      <c r="M440" s="164" t="n"/>
      <c r="N440" s="164" t="n"/>
      <c r="O440" s="164" t="n"/>
      <c r="P440" s="140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39" t="n"/>
      <c r="C441" s="139" t="n"/>
      <c r="D441" s="139" t="n"/>
      <c r="E441" s="139" t="n"/>
      <c r="F441" s="139" t="n"/>
      <c r="G441" s="139" t="n"/>
      <c r="H441" s="139" t="n"/>
      <c r="I441" s="139" t="n"/>
      <c r="J441" s="139" t="n"/>
      <c r="K441" s="139" t="n"/>
      <c r="L441" s="164" t="n"/>
      <c r="M441" s="164" t="n"/>
      <c r="N441" s="164" t="n"/>
      <c r="O441" s="164" t="n"/>
      <c r="P441" s="140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39" t="n"/>
      <c r="C442" s="139" t="n"/>
      <c r="D442" s="139" t="n"/>
      <c r="E442" s="139" t="n"/>
      <c r="F442" s="139" t="n"/>
      <c r="G442" s="139" t="n"/>
      <c r="H442" s="139" t="n"/>
      <c r="I442" s="139" t="n"/>
      <c r="J442" s="139" t="n"/>
      <c r="K442" s="139" t="n"/>
      <c r="L442" s="164" t="n"/>
      <c r="M442" s="164" t="n"/>
      <c r="N442" s="164" t="n"/>
      <c r="O442" s="164" t="n"/>
      <c r="P442" s="140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39" t="n"/>
      <c r="C443" s="139" t="n"/>
      <c r="D443" s="139" t="n"/>
      <c r="E443" s="139" t="n"/>
      <c r="F443" s="139" t="n"/>
      <c r="G443" s="139" t="n"/>
      <c r="H443" s="139" t="n"/>
      <c r="I443" s="139" t="n"/>
      <c r="J443" s="139" t="n"/>
      <c r="K443" s="139" t="n"/>
      <c r="L443" s="164" t="n"/>
      <c r="M443" s="164" t="n"/>
      <c r="N443" s="164" t="n"/>
      <c r="O443" s="164" t="n"/>
      <c r="P443" s="140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39" t="n"/>
      <c r="C444" s="139" t="n"/>
      <c r="D444" s="139" t="n"/>
      <c r="E444" s="139" t="n"/>
      <c r="F444" s="139" t="n"/>
      <c r="G444" s="139" t="n"/>
      <c r="H444" s="139" t="n"/>
      <c r="I444" s="139" t="n"/>
      <c r="J444" s="139" t="n"/>
      <c r="K444" s="139" t="n"/>
      <c r="L444" s="164" t="n"/>
      <c r="M444" s="164" t="n"/>
      <c r="N444" s="164" t="n"/>
      <c r="O444" s="164" t="n"/>
      <c r="P444" s="140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39" t="n"/>
      <c r="C445" s="139" t="n"/>
      <c r="D445" s="139" t="n"/>
      <c r="E445" s="139" t="n"/>
      <c r="F445" s="139" t="n"/>
      <c r="G445" s="139" t="n"/>
      <c r="H445" s="139" t="n"/>
      <c r="I445" s="139" t="n"/>
      <c r="J445" s="139" t="n"/>
      <c r="K445" s="139" t="n"/>
      <c r="L445" s="164" t="n"/>
      <c r="M445" s="164" t="n"/>
      <c r="N445" s="164" t="n"/>
      <c r="O445" s="164" t="n"/>
      <c r="P445" s="140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39" t="n"/>
      <c r="C446" s="139" t="n"/>
      <c r="D446" s="139" t="n"/>
      <c r="E446" s="139" t="n"/>
      <c r="F446" s="139" t="n"/>
      <c r="G446" s="139" t="n"/>
      <c r="H446" s="139" t="n"/>
      <c r="I446" s="139" t="n"/>
      <c r="J446" s="139" t="n"/>
      <c r="K446" s="139" t="n"/>
      <c r="L446" s="164" t="n"/>
      <c r="M446" s="164" t="n"/>
      <c r="N446" s="164" t="n"/>
      <c r="O446" s="164" t="n"/>
      <c r="P446" s="140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39" t="n"/>
      <c r="C447" s="139" t="n"/>
      <c r="D447" s="139" t="n"/>
      <c r="E447" s="139" t="n"/>
      <c r="F447" s="139" t="n"/>
      <c r="G447" s="139" t="n"/>
      <c r="H447" s="139" t="n"/>
      <c r="I447" s="139" t="n"/>
      <c r="J447" s="139" t="n"/>
      <c r="K447" s="139" t="n"/>
      <c r="L447" s="164" t="n"/>
      <c r="M447" s="164" t="n"/>
      <c r="N447" s="164" t="n"/>
      <c r="O447" s="164" t="n"/>
      <c r="P447" s="140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39" t="n"/>
      <c r="C448" s="139" t="n"/>
      <c r="D448" s="139" t="n"/>
      <c r="E448" s="139" t="n"/>
      <c r="F448" s="139" t="n"/>
      <c r="G448" s="139" t="n"/>
      <c r="H448" s="139" t="n"/>
      <c r="I448" s="139" t="n"/>
      <c r="J448" s="139" t="n"/>
      <c r="K448" s="139" t="n"/>
      <c r="L448" s="164" t="n"/>
      <c r="M448" s="164" t="n"/>
      <c r="N448" s="164" t="n"/>
      <c r="O448" s="164" t="n"/>
      <c r="P448" s="140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39" t="n"/>
      <c r="C449" s="139" t="n"/>
      <c r="D449" s="139" t="n"/>
      <c r="E449" s="139" t="n"/>
      <c r="F449" s="139" t="n"/>
      <c r="G449" s="139" t="n"/>
      <c r="H449" s="139" t="n"/>
      <c r="I449" s="139" t="n"/>
      <c r="J449" s="139" t="n"/>
      <c r="K449" s="139" t="n"/>
      <c r="L449" s="164" t="n"/>
      <c r="M449" s="164" t="n"/>
      <c r="N449" s="164" t="n"/>
      <c r="O449" s="164" t="n"/>
      <c r="P449" s="140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39" t="n"/>
      <c r="C450" s="139" t="n"/>
      <c r="D450" s="139" t="n"/>
      <c r="E450" s="139" t="n"/>
      <c r="F450" s="139" t="n"/>
      <c r="G450" s="139" t="n"/>
      <c r="H450" s="139" t="n"/>
      <c r="I450" s="139" t="n"/>
      <c r="J450" s="139" t="n"/>
      <c r="K450" s="139" t="n"/>
      <c r="L450" s="164" t="n"/>
      <c r="M450" s="164" t="n"/>
      <c r="N450" s="164" t="n"/>
      <c r="O450" s="164" t="n"/>
      <c r="P450" s="140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39" t="n"/>
      <c r="C451" s="139" t="n"/>
      <c r="D451" s="139" t="n"/>
      <c r="E451" s="139" t="n"/>
      <c r="F451" s="139" t="n"/>
      <c r="G451" s="139" t="n"/>
      <c r="H451" s="139" t="n"/>
      <c r="I451" s="139" t="n"/>
      <c r="J451" s="139" t="n"/>
      <c r="K451" s="139" t="n"/>
      <c r="L451" s="164" t="n"/>
      <c r="M451" s="164" t="n"/>
      <c r="N451" s="164" t="n"/>
      <c r="O451" s="164" t="n"/>
      <c r="P451" s="140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39" t="n"/>
      <c r="C452" s="139" t="n"/>
      <c r="D452" s="139" t="n"/>
      <c r="E452" s="139" t="n"/>
      <c r="F452" s="139" t="n"/>
      <c r="G452" s="139" t="n"/>
      <c r="H452" s="139" t="n"/>
      <c r="I452" s="139" t="n"/>
      <c r="J452" s="139" t="n"/>
      <c r="K452" s="139" t="n"/>
      <c r="L452" s="164" t="n"/>
      <c r="M452" s="164" t="n"/>
      <c r="N452" s="164" t="n"/>
      <c r="O452" s="164" t="n"/>
      <c r="P452" s="140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39" t="n"/>
      <c r="C453" s="139" t="n"/>
      <c r="D453" s="139" t="n"/>
      <c r="E453" s="139" t="n"/>
      <c r="F453" s="139" t="n"/>
      <c r="G453" s="139" t="n"/>
      <c r="H453" s="139" t="n"/>
      <c r="I453" s="139" t="n"/>
      <c r="J453" s="139" t="n"/>
      <c r="K453" s="139" t="n"/>
      <c r="L453" s="164" t="n"/>
      <c r="M453" s="164" t="n"/>
      <c r="N453" s="164" t="n"/>
      <c r="O453" s="164" t="n"/>
      <c r="P453" s="140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39" t="n"/>
      <c r="C454" s="139" t="n"/>
      <c r="D454" s="139" t="n"/>
      <c r="E454" s="139" t="n"/>
      <c r="F454" s="139" t="n"/>
      <c r="G454" s="139" t="n"/>
      <c r="H454" s="139" t="n"/>
      <c r="I454" s="139" t="n"/>
      <c r="J454" s="139" t="n"/>
      <c r="K454" s="139" t="n"/>
      <c r="L454" s="164" t="n"/>
      <c r="M454" s="164" t="n"/>
      <c r="N454" s="164" t="n"/>
      <c r="O454" s="164" t="n"/>
      <c r="P454" s="140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39" t="n"/>
      <c r="C455" s="139" t="n"/>
      <c r="D455" s="139" t="n"/>
      <c r="E455" s="139" t="n"/>
      <c r="F455" s="139" t="n"/>
      <c r="G455" s="139" t="n"/>
      <c r="H455" s="139" t="n"/>
      <c r="I455" s="139" t="n"/>
      <c r="J455" s="139" t="n"/>
      <c r="K455" s="139" t="n"/>
      <c r="L455" s="164" t="n"/>
      <c r="M455" s="164" t="n"/>
      <c r="N455" s="164" t="n"/>
      <c r="O455" s="164" t="n"/>
      <c r="P455" s="140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39" t="n"/>
      <c r="C456" s="139" t="n"/>
      <c r="D456" s="139" t="n"/>
      <c r="E456" s="139" t="n"/>
      <c r="F456" s="139" t="n"/>
      <c r="G456" s="139" t="n"/>
      <c r="H456" s="139" t="n"/>
      <c r="I456" s="139" t="n"/>
      <c r="J456" s="139" t="n"/>
      <c r="K456" s="139" t="n"/>
      <c r="L456" s="164" t="n"/>
      <c r="M456" s="164" t="n"/>
      <c r="N456" s="164" t="n"/>
      <c r="O456" s="164" t="n"/>
      <c r="P456" s="140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39" t="n"/>
      <c r="C457" s="139" t="n"/>
      <c r="D457" s="139" t="n"/>
      <c r="E457" s="139" t="n"/>
      <c r="F457" s="139" t="n"/>
      <c r="G457" s="139" t="n"/>
      <c r="H457" s="139" t="n"/>
      <c r="I457" s="139" t="n"/>
      <c r="J457" s="139" t="n"/>
      <c r="K457" s="139" t="n"/>
      <c r="L457" s="164" t="n"/>
      <c r="M457" s="164" t="n"/>
      <c r="N457" s="164" t="n"/>
      <c r="O457" s="164" t="n"/>
      <c r="P457" s="140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39" t="n"/>
      <c r="C458" s="139" t="n"/>
      <c r="D458" s="139" t="n"/>
      <c r="E458" s="139" t="n"/>
      <c r="F458" s="139" t="n"/>
      <c r="G458" s="139" t="n"/>
      <c r="H458" s="139" t="n"/>
      <c r="I458" s="139" t="n"/>
      <c r="J458" s="139" t="n"/>
      <c r="K458" s="139" t="n"/>
      <c r="L458" s="164" t="n"/>
      <c r="M458" s="164" t="n"/>
      <c r="N458" s="164" t="n"/>
      <c r="O458" s="164" t="n"/>
      <c r="P458" s="140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39" t="n"/>
      <c r="C459" s="139" t="n"/>
      <c r="D459" s="139" t="n"/>
      <c r="E459" s="139" t="n"/>
      <c r="F459" s="139" t="n"/>
      <c r="G459" s="139" t="n"/>
      <c r="H459" s="139" t="n"/>
      <c r="I459" s="139" t="n"/>
      <c r="J459" s="139" t="n"/>
      <c r="K459" s="139" t="n"/>
      <c r="L459" s="164" t="n"/>
      <c r="M459" s="164" t="n"/>
      <c r="N459" s="164" t="n"/>
      <c r="O459" s="164" t="n"/>
      <c r="P459" s="140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39" t="n"/>
      <c r="C460" s="139" t="n"/>
      <c r="D460" s="139" t="n"/>
      <c r="E460" s="139" t="n"/>
      <c r="F460" s="139" t="n"/>
      <c r="G460" s="139" t="n"/>
      <c r="H460" s="139" t="n"/>
      <c r="I460" s="139" t="n"/>
      <c r="J460" s="139" t="n"/>
      <c r="K460" s="139" t="n"/>
      <c r="L460" s="164" t="n"/>
      <c r="M460" s="164" t="n"/>
      <c r="N460" s="164" t="n"/>
      <c r="O460" s="164" t="n"/>
      <c r="P460" s="140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39" t="n"/>
      <c r="C461" s="139" t="n"/>
      <c r="D461" s="139" t="n"/>
      <c r="E461" s="139" t="n"/>
      <c r="F461" s="139" t="n"/>
      <c r="G461" s="139" t="n"/>
      <c r="H461" s="139" t="n"/>
      <c r="I461" s="139" t="n"/>
      <c r="J461" s="139" t="n"/>
      <c r="K461" s="139" t="n"/>
      <c r="L461" s="164" t="n"/>
      <c r="M461" s="164" t="n"/>
      <c r="N461" s="164" t="n"/>
      <c r="O461" s="164" t="n"/>
      <c r="P461" s="140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39" t="n"/>
      <c r="C462" s="139" t="n"/>
      <c r="D462" s="139" t="n"/>
      <c r="E462" s="139" t="n"/>
      <c r="F462" s="139" t="n"/>
      <c r="G462" s="139" t="n"/>
      <c r="H462" s="139" t="n"/>
      <c r="I462" s="139" t="n"/>
      <c r="J462" s="139" t="n"/>
      <c r="K462" s="139" t="n"/>
      <c r="L462" s="164" t="n"/>
      <c r="M462" s="164" t="n"/>
      <c r="N462" s="164" t="n"/>
      <c r="O462" s="164" t="n"/>
      <c r="P462" s="140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39" t="n"/>
      <c r="C463" s="139" t="n"/>
      <c r="D463" s="139" t="n"/>
      <c r="E463" s="139" t="n"/>
      <c r="F463" s="139" t="n"/>
      <c r="G463" s="139" t="n"/>
      <c r="H463" s="139" t="n"/>
      <c r="I463" s="139" t="n"/>
      <c r="J463" s="139" t="n"/>
      <c r="K463" s="139" t="n"/>
      <c r="L463" s="164" t="n"/>
      <c r="M463" s="164" t="n"/>
      <c r="N463" s="164" t="n"/>
      <c r="O463" s="164" t="n"/>
      <c r="P463" s="140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39" t="n"/>
      <c r="C464" s="139" t="n"/>
      <c r="D464" s="139" t="n"/>
      <c r="E464" s="139" t="n"/>
      <c r="F464" s="139" t="n"/>
      <c r="G464" s="139" t="n"/>
      <c r="H464" s="139" t="n"/>
      <c r="I464" s="139" t="n"/>
      <c r="J464" s="139" t="n"/>
      <c r="K464" s="139" t="n"/>
      <c r="L464" s="164" t="n"/>
      <c r="M464" s="164" t="n"/>
      <c r="N464" s="164" t="n"/>
      <c r="O464" s="164" t="n"/>
      <c r="P464" s="140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39" t="n"/>
      <c r="C465" s="139" t="n"/>
      <c r="D465" s="139" t="n"/>
      <c r="E465" s="139" t="n"/>
      <c r="F465" s="139" t="n"/>
      <c r="G465" s="139" t="n"/>
      <c r="H465" s="139" t="n"/>
      <c r="I465" s="139" t="n"/>
      <c r="J465" s="139" t="n"/>
      <c r="K465" s="139" t="n"/>
      <c r="L465" s="164" t="n"/>
      <c r="M465" s="164" t="n"/>
      <c r="N465" s="164" t="n"/>
      <c r="O465" s="164" t="n"/>
      <c r="P465" s="140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39" t="n"/>
      <c r="C466" s="139" t="n"/>
      <c r="D466" s="139" t="n"/>
      <c r="E466" s="139" t="n"/>
      <c r="F466" s="139" t="n"/>
      <c r="G466" s="139" t="n"/>
      <c r="H466" s="139" t="n"/>
      <c r="I466" s="139" t="n"/>
      <c r="J466" s="139" t="n"/>
      <c r="K466" s="139" t="n"/>
      <c r="L466" s="164" t="n"/>
      <c r="M466" s="164" t="n"/>
      <c r="N466" s="164" t="n"/>
      <c r="O466" s="164" t="n"/>
      <c r="P466" s="140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39" t="n"/>
      <c r="C467" s="139" t="n"/>
      <c r="D467" s="139" t="n"/>
      <c r="E467" s="139" t="n"/>
      <c r="F467" s="139" t="n"/>
      <c r="G467" s="139" t="n"/>
      <c r="H467" s="139" t="n"/>
      <c r="I467" s="139" t="n"/>
      <c r="J467" s="139" t="n"/>
      <c r="K467" s="139" t="n"/>
      <c r="L467" s="164" t="n"/>
      <c r="M467" s="164" t="n"/>
      <c r="N467" s="164" t="n"/>
      <c r="O467" s="164" t="n"/>
      <c r="P467" s="140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39" t="n"/>
      <c r="C468" s="139" t="n"/>
      <c r="D468" s="139" t="n"/>
      <c r="E468" s="139" t="n"/>
      <c r="F468" s="139" t="n"/>
      <c r="G468" s="139" t="n"/>
      <c r="H468" s="139" t="n"/>
      <c r="I468" s="139" t="n"/>
      <c r="J468" s="139" t="n"/>
      <c r="K468" s="139" t="n"/>
      <c r="L468" s="164" t="n"/>
      <c r="M468" s="164" t="n"/>
      <c r="N468" s="164" t="n"/>
      <c r="O468" s="164" t="n"/>
      <c r="P468" s="140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39" t="n"/>
      <c r="C469" s="139" t="n"/>
      <c r="D469" s="139" t="n"/>
      <c r="E469" s="139" t="n"/>
      <c r="F469" s="139" t="n"/>
      <c r="G469" s="139" t="n"/>
      <c r="H469" s="139" t="n"/>
      <c r="I469" s="139" t="n"/>
      <c r="J469" s="139" t="n"/>
      <c r="K469" s="139" t="n"/>
      <c r="L469" s="164" t="n"/>
      <c r="M469" s="164" t="n"/>
      <c r="N469" s="164" t="n"/>
      <c r="O469" s="164" t="n"/>
      <c r="P469" s="140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39" t="n"/>
      <c r="C470" s="139" t="n"/>
      <c r="D470" s="139" t="n"/>
      <c r="E470" s="139" t="n"/>
      <c r="F470" s="139" t="n"/>
      <c r="G470" s="139" t="n"/>
      <c r="H470" s="139" t="n"/>
      <c r="I470" s="139" t="n"/>
      <c r="J470" s="139" t="n"/>
      <c r="K470" s="139" t="n"/>
      <c r="L470" s="164" t="n"/>
      <c r="M470" s="164" t="n"/>
      <c r="N470" s="164" t="n"/>
      <c r="O470" s="164" t="n"/>
      <c r="P470" s="140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39" t="n"/>
      <c r="C471" s="139" t="n"/>
      <c r="D471" s="139" t="n"/>
      <c r="E471" s="139" t="n"/>
      <c r="F471" s="139" t="n"/>
      <c r="G471" s="139" t="n"/>
      <c r="H471" s="139" t="n"/>
      <c r="I471" s="139" t="n"/>
      <c r="J471" s="139" t="n"/>
      <c r="K471" s="139" t="n"/>
      <c r="L471" s="164" t="n"/>
      <c r="M471" s="164" t="n"/>
      <c r="N471" s="164" t="n"/>
      <c r="O471" s="164" t="n"/>
      <c r="P471" s="140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39" t="n"/>
      <c r="C472" s="139" t="n"/>
      <c r="D472" s="139" t="n"/>
      <c r="E472" s="139" t="n"/>
      <c r="F472" s="139" t="n"/>
      <c r="G472" s="139" t="n"/>
      <c r="H472" s="139" t="n"/>
      <c r="I472" s="139" t="n"/>
      <c r="J472" s="139" t="n"/>
      <c r="K472" s="139" t="n"/>
      <c r="L472" s="164" t="n"/>
      <c r="M472" s="164" t="n"/>
      <c r="N472" s="164" t="n"/>
      <c r="O472" s="164" t="n"/>
      <c r="P472" s="140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39" t="n"/>
      <c r="C473" s="139" t="n"/>
      <c r="D473" s="139" t="n"/>
      <c r="E473" s="139" t="n"/>
      <c r="F473" s="139" t="n"/>
      <c r="G473" s="139" t="n"/>
      <c r="H473" s="139" t="n"/>
      <c r="I473" s="139" t="n"/>
      <c r="J473" s="139" t="n"/>
      <c r="K473" s="139" t="n"/>
      <c r="L473" s="164" t="n"/>
      <c r="M473" s="164" t="n"/>
      <c r="N473" s="164" t="n"/>
      <c r="O473" s="164" t="n"/>
      <c r="P473" s="140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39" t="n"/>
      <c r="C474" s="139" t="n"/>
      <c r="D474" s="139" t="n"/>
      <c r="E474" s="139" t="n"/>
      <c r="F474" s="139" t="n"/>
      <c r="G474" s="139" t="n"/>
      <c r="H474" s="139" t="n"/>
      <c r="I474" s="139" t="n"/>
      <c r="J474" s="139" t="n"/>
      <c r="K474" s="139" t="n"/>
      <c r="L474" s="164" t="n"/>
      <c r="M474" s="164" t="n"/>
      <c r="N474" s="164" t="n"/>
      <c r="O474" s="164" t="n"/>
      <c r="P474" s="140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39" t="n"/>
      <c r="C475" s="139" t="n"/>
      <c r="D475" s="139" t="n"/>
      <c r="E475" s="139" t="n"/>
      <c r="F475" s="139" t="n"/>
      <c r="G475" s="139" t="n"/>
      <c r="H475" s="139" t="n"/>
      <c r="I475" s="139" t="n"/>
      <c r="J475" s="139" t="n"/>
      <c r="K475" s="139" t="n"/>
      <c r="L475" s="164" t="n"/>
      <c r="M475" s="164" t="n"/>
      <c r="N475" s="164" t="n"/>
      <c r="O475" s="164" t="n"/>
      <c r="P475" s="140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39" t="n"/>
      <c r="C476" s="139" t="n"/>
      <c r="D476" s="139" t="n"/>
      <c r="E476" s="139" t="n"/>
      <c r="F476" s="139" t="n"/>
      <c r="G476" s="139" t="n"/>
      <c r="H476" s="139" t="n"/>
      <c r="I476" s="139" t="n"/>
      <c r="J476" s="139" t="n"/>
      <c r="K476" s="139" t="n"/>
      <c r="L476" s="164" t="n"/>
      <c r="M476" s="164" t="n"/>
      <c r="N476" s="164" t="n"/>
      <c r="O476" s="164" t="n"/>
      <c r="P476" s="140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39" t="n"/>
      <c r="C477" s="139" t="n"/>
      <c r="D477" s="139" t="n"/>
      <c r="E477" s="139" t="n"/>
      <c r="F477" s="139" t="n"/>
      <c r="G477" s="139" t="n"/>
      <c r="H477" s="139" t="n"/>
      <c r="I477" s="139" t="n"/>
      <c r="J477" s="139" t="n"/>
      <c r="K477" s="139" t="n"/>
      <c r="L477" s="164" t="n"/>
      <c r="M477" s="164" t="n"/>
      <c r="N477" s="164" t="n"/>
      <c r="O477" s="164" t="n"/>
      <c r="P477" s="140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39" t="n"/>
      <c r="C478" s="139" t="n"/>
      <c r="D478" s="139" t="n"/>
      <c r="E478" s="139" t="n"/>
      <c r="F478" s="139" t="n"/>
      <c r="G478" s="139" t="n"/>
      <c r="H478" s="139" t="n"/>
      <c r="I478" s="139" t="n"/>
      <c r="J478" s="139" t="n"/>
      <c r="K478" s="139" t="n"/>
      <c r="L478" s="164" t="n"/>
      <c r="M478" s="164" t="n"/>
      <c r="N478" s="164" t="n"/>
      <c r="O478" s="164" t="n"/>
      <c r="P478" s="140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39" t="n"/>
      <c r="C479" s="139" t="n"/>
      <c r="D479" s="139" t="n"/>
      <c r="E479" s="139" t="n"/>
      <c r="F479" s="139" t="n"/>
      <c r="G479" s="139" t="n"/>
      <c r="H479" s="139" t="n"/>
      <c r="I479" s="139" t="n"/>
      <c r="J479" s="139" t="n"/>
      <c r="K479" s="139" t="n"/>
      <c r="L479" s="164" t="n"/>
      <c r="M479" s="164" t="n"/>
      <c r="N479" s="164" t="n"/>
      <c r="O479" s="164" t="n"/>
      <c r="P479" s="140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39" t="n"/>
      <c r="C480" s="139" t="n"/>
      <c r="D480" s="139" t="n"/>
      <c r="E480" s="139" t="n"/>
      <c r="F480" s="139" t="n"/>
      <c r="G480" s="139" t="n"/>
      <c r="H480" s="139" t="n"/>
      <c r="I480" s="139" t="n"/>
      <c r="J480" s="139" t="n"/>
      <c r="K480" s="139" t="n"/>
      <c r="L480" s="164" t="n"/>
      <c r="M480" s="164" t="n"/>
      <c r="N480" s="164" t="n"/>
      <c r="O480" s="164" t="n"/>
      <c r="P480" s="140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39" t="n"/>
      <c r="C481" s="139" t="n"/>
      <c r="D481" s="139" t="n"/>
      <c r="E481" s="139" t="n"/>
      <c r="F481" s="139" t="n"/>
      <c r="G481" s="139" t="n"/>
      <c r="H481" s="139" t="n"/>
      <c r="I481" s="139" t="n"/>
      <c r="J481" s="139" t="n"/>
      <c r="K481" s="139" t="n"/>
      <c r="L481" s="164" t="n"/>
      <c r="M481" s="164" t="n"/>
      <c r="N481" s="164" t="n"/>
      <c r="O481" s="164" t="n"/>
      <c r="P481" s="140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39" t="n"/>
      <c r="C482" s="139" t="n"/>
      <c r="D482" s="139" t="n"/>
      <c r="E482" s="139" t="n"/>
      <c r="F482" s="139" t="n"/>
      <c r="G482" s="139" t="n"/>
      <c r="H482" s="139" t="n"/>
      <c r="I482" s="139" t="n"/>
      <c r="J482" s="139" t="n"/>
      <c r="K482" s="139" t="n"/>
      <c r="L482" s="164" t="n"/>
      <c r="M482" s="164" t="n"/>
      <c r="N482" s="164" t="n"/>
      <c r="O482" s="164" t="n"/>
      <c r="P482" s="140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39" t="n"/>
      <c r="C483" s="139" t="n"/>
      <c r="D483" s="139" t="n"/>
      <c r="E483" s="139" t="n"/>
      <c r="F483" s="139" t="n"/>
      <c r="G483" s="139" t="n"/>
      <c r="H483" s="139" t="n"/>
      <c r="I483" s="139" t="n"/>
      <c r="J483" s="139" t="n"/>
      <c r="K483" s="139" t="n"/>
      <c r="L483" s="164" t="n"/>
      <c r="M483" s="164" t="n"/>
      <c r="N483" s="164" t="n"/>
      <c r="O483" s="164" t="n"/>
      <c r="P483" s="140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39" t="n"/>
      <c r="C484" s="139" t="n"/>
      <c r="D484" s="139" t="n"/>
      <c r="E484" s="139" t="n"/>
      <c r="F484" s="139" t="n"/>
      <c r="G484" s="139" t="n"/>
      <c r="H484" s="139" t="n"/>
      <c r="I484" s="139" t="n"/>
      <c r="J484" s="139" t="n"/>
      <c r="K484" s="139" t="n"/>
      <c r="L484" s="164" t="n"/>
      <c r="M484" s="164" t="n"/>
      <c r="N484" s="164" t="n"/>
      <c r="O484" s="164" t="n"/>
      <c r="P484" s="140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39" t="n"/>
      <c r="C485" s="139" t="n"/>
      <c r="D485" s="139" t="n"/>
      <c r="E485" s="139" t="n"/>
      <c r="F485" s="139" t="n"/>
      <c r="G485" s="139" t="n"/>
      <c r="H485" s="139" t="n"/>
      <c r="I485" s="139" t="n"/>
      <c r="J485" s="139" t="n"/>
      <c r="K485" s="139" t="n"/>
      <c r="L485" s="164" t="n"/>
      <c r="M485" s="164" t="n"/>
      <c r="N485" s="164" t="n"/>
      <c r="O485" s="164" t="n"/>
      <c r="P485" s="140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39" t="n"/>
      <c r="C486" s="139" t="n"/>
      <c r="D486" s="139" t="n"/>
      <c r="E486" s="139" t="n"/>
      <c r="F486" s="139" t="n"/>
      <c r="G486" s="139" t="n"/>
      <c r="H486" s="139" t="n"/>
      <c r="I486" s="139" t="n"/>
      <c r="J486" s="139" t="n"/>
      <c r="K486" s="139" t="n"/>
      <c r="L486" s="164" t="n"/>
      <c r="M486" s="164" t="n"/>
      <c r="N486" s="164" t="n"/>
      <c r="O486" s="164" t="n"/>
      <c r="P486" s="140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39" t="n"/>
      <c r="C487" s="139" t="n"/>
      <c r="D487" s="139" t="n"/>
      <c r="E487" s="139" t="n"/>
      <c r="F487" s="139" t="n"/>
      <c r="G487" s="139" t="n"/>
      <c r="H487" s="139" t="n"/>
      <c r="I487" s="139" t="n"/>
      <c r="J487" s="139" t="n"/>
      <c r="K487" s="139" t="n"/>
      <c r="L487" s="164" t="n"/>
      <c r="M487" s="164" t="n"/>
      <c r="N487" s="164" t="n"/>
      <c r="O487" s="164" t="n"/>
      <c r="P487" s="140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39" t="n"/>
      <c r="C488" s="139" t="n"/>
      <c r="D488" s="139" t="n"/>
      <c r="E488" s="139" t="n"/>
      <c r="F488" s="139" t="n"/>
      <c r="G488" s="139" t="n"/>
      <c r="H488" s="139" t="n"/>
      <c r="I488" s="139" t="n"/>
      <c r="J488" s="139" t="n"/>
      <c r="K488" s="139" t="n"/>
      <c r="L488" s="164" t="n"/>
      <c r="M488" s="164" t="n"/>
      <c r="N488" s="164" t="n"/>
      <c r="O488" s="164" t="n"/>
      <c r="P488" s="140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39" t="n"/>
      <c r="C489" s="139" t="n"/>
      <c r="D489" s="139" t="n"/>
      <c r="E489" s="139" t="n"/>
      <c r="F489" s="139" t="n"/>
      <c r="G489" s="139" t="n"/>
      <c r="H489" s="139" t="n"/>
      <c r="I489" s="139" t="n"/>
      <c r="J489" s="139" t="n"/>
      <c r="K489" s="139" t="n"/>
      <c r="L489" s="164" t="n"/>
      <c r="M489" s="164" t="n"/>
      <c r="N489" s="164" t="n"/>
      <c r="O489" s="164" t="n"/>
      <c r="P489" s="140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39" t="n"/>
      <c r="C490" s="139" t="n"/>
      <c r="D490" s="139" t="n"/>
      <c r="E490" s="139" t="n"/>
      <c r="F490" s="139" t="n"/>
      <c r="G490" s="139" t="n"/>
      <c r="H490" s="139" t="n"/>
      <c r="I490" s="139" t="n"/>
      <c r="J490" s="139" t="n"/>
      <c r="K490" s="139" t="n"/>
      <c r="L490" s="164" t="n"/>
      <c r="M490" s="164" t="n"/>
      <c r="N490" s="164" t="n"/>
      <c r="O490" s="164" t="n"/>
      <c r="P490" s="140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39" t="n"/>
      <c r="C491" s="139" t="n"/>
      <c r="D491" s="139" t="n"/>
      <c r="E491" s="139" t="n"/>
      <c r="F491" s="139" t="n"/>
      <c r="G491" s="139" t="n"/>
      <c r="H491" s="139" t="n"/>
      <c r="I491" s="139" t="n"/>
      <c r="J491" s="139" t="n"/>
      <c r="K491" s="139" t="n"/>
      <c r="L491" s="164" t="n"/>
      <c r="M491" s="164" t="n"/>
      <c r="N491" s="164" t="n"/>
      <c r="O491" s="164" t="n"/>
      <c r="P491" s="140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39" t="n"/>
      <c r="C492" s="139" t="n"/>
      <c r="D492" s="139" t="n"/>
      <c r="E492" s="139" t="n"/>
      <c r="F492" s="139" t="n"/>
      <c r="G492" s="139" t="n"/>
      <c r="H492" s="139" t="n"/>
      <c r="I492" s="139" t="n"/>
      <c r="J492" s="139" t="n"/>
      <c r="K492" s="139" t="n"/>
      <c r="L492" s="164" t="n"/>
      <c r="M492" s="164" t="n"/>
      <c r="N492" s="164" t="n"/>
      <c r="O492" s="164" t="n"/>
      <c r="P492" s="140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39" t="n"/>
      <c r="C493" s="139" t="n"/>
      <c r="D493" s="139" t="n"/>
      <c r="E493" s="139" t="n"/>
      <c r="F493" s="139" t="n"/>
      <c r="G493" s="139" t="n"/>
      <c r="H493" s="139" t="n"/>
      <c r="I493" s="139" t="n"/>
      <c r="J493" s="139" t="n"/>
      <c r="K493" s="139" t="n"/>
      <c r="L493" s="164" t="n"/>
      <c r="M493" s="164" t="n"/>
      <c r="N493" s="164" t="n"/>
      <c r="O493" s="164" t="n"/>
      <c r="P493" s="140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39" t="n"/>
      <c r="C494" s="139" t="n"/>
      <c r="D494" s="139" t="n"/>
      <c r="E494" s="139" t="n"/>
      <c r="F494" s="139" t="n"/>
      <c r="G494" s="139" t="n"/>
      <c r="H494" s="139" t="n"/>
      <c r="I494" s="139" t="n"/>
      <c r="J494" s="139" t="n"/>
      <c r="K494" s="139" t="n"/>
      <c r="L494" s="164" t="n"/>
      <c r="M494" s="164" t="n"/>
      <c r="N494" s="164" t="n"/>
      <c r="O494" s="164" t="n"/>
      <c r="P494" s="140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39" t="n"/>
      <c r="C495" s="139" t="n"/>
      <c r="D495" s="139" t="n"/>
      <c r="E495" s="139" t="n"/>
      <c r="F495" s="139" t="n"/>
      <c r="G495" s="139" t="n"/>
      <c r="H495" s="139" t="n"/>
      <c r="I495" s="139" t="n"/>
      <c r="J495" s="139" t="n"/>
      <c r="K495" s="139" t="n"/>
      <c r="L495" s="164" t="n"/>
      <c r="M495" s="164" t="n"/>
      <c r="N495" s="164" t="n"/>
      <c r="O495" s="164" t="n"/>
      <c r="P495" s="140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39" t="n"/>
      <c r="C496" s="139" t="n"/>
      <c r="D496" s="139" t="n"/>
      <c r="E496" s="139" t="n"/>
      <c r="F496" s="139" t="n"/>
      <c r="G496" s="139" t="n"/>
      <c r="H496" s="139" t="n"/>
      <c r="I496" s="139" t="n"/>
      <c r="J496" s="139" t="n"/>
      <c r="K496" s="139" t="n"/>
      <c r="L496" s="164" t="n"/>
      <c r="M496" s="164" t="n"/>
      <c r="N496" s="164" t="n"/>
      <c r="O496" s="164" t="n"/>
      <c r="P496" s="140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39" t="n"/>
      <c r="C497" s="139" t="n"/>
      <c r="D497" s="139" t="n"/>
      <c r="E497" s="139" t="n"/>
      <c r="F497" s="139" t="n"/>
      <c r="G497" s="139" t="n"/>
      <c r="H497" s="139" t="n"/>
      <c r="I497" s="139" t="n"/>
      <c r="J497" s="139" t="n"/>
      <c r="K497" s="139" t="n"/>
      <c r="L497" s="164" t="n"/>
      <c r="M497" s="164" t="n"/>
      <c r="N497" s="164" t="n"/>
      <c r="O497" s="164" t="n"/>
      <c r="P497" s="140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39" t="n"/>
      <c r="C498" s="139" t="n"/>
      <c r="D498" s="139" t="n"/>
      <c r="E498" s="139" t="n"/>
      <c r="F498" s="139" t="n"/>
      <c r="G498" s="139" t="n"/>
      <c r="H498" s="139" t="n"/>
      <c r="I498" s="139" t="n"/>
      <c r="J498" s="139" t="n"/>
      <c r="K498" s="139" t="n"/>
      <c r="L498" s="164" t="n"/>
      <c r="M498" s="164" t="n"/>
      <c r="N498" s="164" t="n"/>
      <c r="O498" s="164" t="n"/>
      <c r="P498" s="140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39" t="n"/>
      <c r="C499" s="139" t="n"/>
      <c r="D499" s="139" t="n"/>
      <c r="E499" s="139" t="n"/>
      <c r="F499" s="139" t="n"/>
      <c r="G499" s="139" t="n"/>
      <c r="H499" s="139" t="n"/>
      <c r="I499" s="139" t="n"/>
      <c r="J499" s="139" t="n"/>
      <c r="K499" s="139" t="n"/>
      <c r="L499" s="164" t="n"/>
      <c r="M499" s="164" t="n"/>
      <c r="N499" s="164" t="n"/>
      <c r="O499" s="164" t="n"/>
      <c r="P499" s="140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39" t="n"/>
      <c r="C500" s="139" t="n"/>
      <c r="D500" s="139" t="n"/>
      <c r="E500" s="139" t="n"/>
      <c r="F500" s="139" t="n"/>
      <c r="G500" s="139" t="n"/>
      <c r="H500" s="139" t="n"/>
      <c r="I500" s="139" t="n"/>
      <c r="J500" s="139" t="n"/>
      <c r="K500" s="139" t="n"/>
      <c r="L500" s="164" t="n"/>
      <c r="M500" s="164" t="n"/>
      <c r="N500" s="164" t="n"/>
      <c r="O500" s="164" t="n"/>
      <c r="P500" s="140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39" t="n"/>
      <c r="C501" s="139" t="n"/>
      <c r="D501" s="139" t="n"/>
      <c r="E501" s="139" t="n"/>
      <c r="F501" s="139" t="n"/>
      <c r="G501" s="139" t="n"/>
      <c r="H501" s="139" t="n"/>
      <c r="I501" s="139" t="n"/>
      <c r="J501" s="139" t="n"/>
      <c r="K501" s="139" t="n"/>
      <c r="L501" s="164" t="n"/>
      <c r="M501" s="164" t="n"/>
      <c r="N501" s="164" t="n"/>
      <c r="O501" s="164" t="n"/>
      <c r="P501" s="140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39" t="n"/>
      <c r="C502" s="139" t="n"/>
      <c r="D502" s="139" t="n"/>
      <c r="E502" s="139" t="n"/>
      <c r="F502" s="139" t="n"/>
      <c r="G502" s="139" t="n"/>
      <c r="H502" s="139" t="n"/>
      <c r="I502" s="139" t="n"/>
      <c r="J502" s="139" t="n"/>
      <c r="K502" s="139" t="n"/>
      <c r="L502" s="164" t="n"/>
      <c r="M502" s="164" t="n"/>
      <c r="N502" s="164" t="n"/>
      <c r="O502" s="164" t="n"/>
      <c r="P502" s="140" t="n"/>
      <c r="Q502" s="164" t="n"/>
      <c r="R502" s="141" t="n"/>
    </row>
    <row r="503" ht="15.75" customHeight="1" s="177">
      <c r="A503" s="164" t="n"/>
      <c r="B503" s="139" t="n"/>
      <c r="C503" s="139" t="n"/>
      <c r="D503" s="139" t="n"/>
      <c r="E503" s="139" t="n"/>
      <c r="F503" s="139" t="n"/>
      <c r="G503" s="139" t="n"/>
      <c r="H503" s="139" t="n"/>
      <c r="I503" s="139" t="n"/>
      <c r="J503" s="139" t="n"/>
      <c r="K503" s="139" t="n"/>
      <c r="L503" s="164" t="n"/>
      <c r="M503" s="164" t="n"/>
      <c r="N503" s="164" t="n"/>
      <c r="O503" s="164" t="n"/>
      <c r="P503" s="140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CHRISTIAN GONZÁLEZ GUTIÉRREZ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89" t="inlineStr">
        <is>
          <t>11:45:00</t>
        </is>
      </c>
      <c r="C3" s="90" t="inlineStr">
        <is>
          <t>12:49:00</t>
        </is>
      </c>
      <c r="D3" s="91" t="inlineStr">
        <is>
          <t>01:04:00</t>
        </is>
      </c>
      <c r="E3" s="89" t="inlineStr">
        <is>
          <t>14:05:00</t>
        </is>
      </c>
      <c r="F3" s="90" t="inlineStr">
        <is>
          <t>17:17:00</t>
        </is>
      </c>
      <c r="G3" s="91" t="inlineStr">
        <is>
          <t>03:12:00</t>
        </is>
      </c>
      <c r="H3" s="89" t="n"/>
      <c r="I3" s="90" t="n"/>
      <c r="J3" s="91" t="n"/>
      <c r="K3" s="92" t="inlineStr">
        <is>
          <t>04:16:00</t>
        </is>
      </c>
      <c r="L3" s="110" t="inlineStr">
        <is>
          <t>00:16.00</t>
        </is>
      </c>
      <c r="M3" s="34" t="n"/>
      <c r="N3" s="34" t="n"/>
      <c r="O3" s="34" t="n"/>
      <c r="P3" s="40" t="n">
        <v>12.27869212962963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00" t="inlineStr">
        <is>
          <t>06:35:00</t>
        </is>
      </c>
      <c r="C4" s="101" t="inlineStr">
        <is>
          <t>11:29:00</t>
        </is>
      </c>
      <c r="D4" s="103" t="inlineStr">
        <is>
          <t>04:54:00</t>
        </is>
      </c>
      <c r="E4" s="100" t="n"/>
      <c r="F4" s="101" t="n"/>
      <c r="G4" s="103" t="n"/>
      <c r="H4" s="100" t="n"/>
      <c r="I4" s="101" t="n"/>
      <c r="J4" s="103" t="n"/>
      <c r="K4" s="104" t="inlineStr">
        <is>
          <t>04:54:00</t>
        </is>
      </c>
      <c r="L4" s="107" t="n"/>
      <c r="M4" s="164" t="n"/>
      <c r="N4" s="164" t="n"/>
      <c r="O4" s="164" t="n"/>
      <c r="P4" s="4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00" t="inlineStr">
        <is>
          <t>13:09:00</t>
        </is>
      </c>
      <c r="C5" s="101" t="inlineStr">
        <is>
          <t>17:21:00</t>
        </is>
      </c>
      <c r="D5" s="103" t="inlineStr">
        <is>
          <t>04:12:00</t>
        </is>
      </c>
      <c r="E5" s="100" t="n"/>
      <c r="F5" s="101" t="n"/>
      <c r="G5" s="103" t="n"/>
      <c r="H5" s="100" t="n"/>
      <c r="I5" s="101" t="n"/>
      <c r="J5" s="103" t="n"/>
      <c r="K5" s="104" t="inlineStr">
        <is>
          <t>04:12:00</t>
        </is>
      </c>
      <c r="L5" s="173" t="n">
        <v>0.008333333333333333</v>
      </c>
      <c r="M5" s="164" t="n"/>
      <c r="N5" s="164" t="n"/>
      <c r="O5" s="164" t="n"/>
      <c r="P5" s="4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00" t="inlineStr">
        <is>
          <t>06:43:00</t>
        </is>
      </c>
      <c r="C6" s="101" t="inlineStr">
        <is>
          <t>11:31:00</t>
        </is>
      </c>
      <c r="D6" s="103" t="inlineStr">
        <is>
          <t>04:48:00</t>
        </is>
      </c>
      <c r="E6" s="100" t="n"/>
      <c r="F6" s="101" t="n"/>
      <c r="G6" s="103" t="n"/>
      <c r="H6" s="100" t="n"/>
      <c r="I6" s="101" t="n"/>
      <c r="J6" s="103" t="n"/>
      <c r="K6" s="104" t="inlineStr">
        <is>
          <t>04:48:00</t>
        </is>
      </c>
      <c r="L6" s="107" t="n"/>
      <c r="M6" s="164" t="n"/>
      <c r="N6" s="164" t="n"/>
      <c r="O6" s="164" t="n"/>
      <c r="P6" s="4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12" t="inlineStr">
        <is>
          <t>13:15:00</t>
        </is>
      </c>
      <c r="C7" s="113" t="inlineStr">
        <is>
          <t>17:16:00</t>
        </is>
      </c>
      <c r="D7" s="114" t="inlineStr">
        <is>
          <t>04:01:00</t>
        </is>
      </c>
      <c r="E7" s="112" t="n"/>
      <c r="F7" s="113" t="n"/>
      <c r="G7" s="114" t="n"/>
      <c r="H7" s="112" t="n"/>
      <c r="I7" s="113" t="n"/>
      <c r="J7" s="114" t="n"/>
      <c r="K7" s="115" t="inlineStr">
        <is>
          <t>04:01:00</t>
        </is>
      </c>
      <c r="L7" s="120" t="n"/>
      <c r="M7" s="164" t="n"/>
      <c r="N7" s="164" t="n"/>
      <c r="O7" s="164" t="n"/>
      <c r="P7" s="4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118" t="n"/>
      <c r="C8" s="118" t="n"/>
      <c r="D8" s="119" t="n"/>
      <c r="E8" s="118" t="n"/>
      <c r="F8" s="118" t="n"/>
      <c r="G8" s="119" t="n"/>
      <c r="H8" s="118" t="n"/>
      <c r="I8" s="118" t="n"/>
      <c r="J8" s="119" t="n"/>
      <c r="K8" s="119" t="n"/>
      <c r="L8" s="120" t="n"/>
      <c r="M8" s="164" t="n"/>
      <c r="N8" s="164" t="n"/>
      <c r="O8" s="164" t="n"/>
      <c r="P8" s="4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121" t="n"/>
      <c r="C9" s="121" t="n"/>
      <c r="D9" s="64" t="n"/>
      <c r="E9" s="121" t="n"/>
      <c r="F9" s="121" t="n"/>
      <c r="G9" s="64" t="n"/>
      <c r="H9" s="121" t="n"/>
      <c r="I9" s="121" t="n"/>
      <c r="J9" s="64" t="n"/>
      <c r="K9" s="64" t="n"/>
      <c r="L9" s="122" t="n"/>
      <c r="M9" s="66" t="n"/>
      <c r="N9" s="66" t="n"/>
      <c r="O9" s="66" t="n"/>
      <c r="P9" s="70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93" t="inlineStr">
        <is>
          <t>11:50:00</t>
        </is>
      </c>
      <c r="C10" s="95" t="inlineStr">
        <is>
          <t>13:00:04</t>
        </is>
      </c>
      <c r="D10" s="97" t="inlineStr">
        <is>
          <t>01:10:04</t>
        </is>
      </c>
      <c r="E10" s="93" t="inlineStr">
        <is>
          <t>14:25:45</t>
        </is>
      </c>
      <c r="F10" s="95" t="inlineStr">
        <is>
          <t>17:26:23</t>
        </is>
      </c>
      <c r="G10" s="97" t="inlineStr">
        <is>
          <t>03:00:38</t>
        </is>
      </c>
      <c r="H10" s="93" t="n"/>
      <c r="I10" s="95" t="n"/>
      <c r="J10" s="97" t="n"/>
      <c r="K10" s="109" t="inlineStr">
        <is>
          <t>04:10:42</t>
        </is>
      </c>
      <c r="L10" s="126" t="n">
        <v>0.007430555555555556</v>
      </c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28" t="inlineStr">
        <is>
          <t>06:44:17</t>
        </is>
      </c>
      <c r="C11" s="129" t="inlineStr">
        <is>
          <t>11:01:46</t>
        </is>
      </c>
      <c r="D11" s="130" t="inlineStr">
        <is>
          <t>04:17:29</t>
        </is>
      </c>
      <c r="E11" s="128" t="n"/>
      <c r="F11" s="129" t="n"/>
      <c r="G11" s="130" t="n"/>
      <c r="H11" s="128" t="n"/>
      <c r="I11" s="129" t="n"/>
      <c r="J11" s="130" t="n"/>
      <c r="K11" s="117" t="inlineStr">
        <is>
          <t>04:17:29</t>
        </is>
      </c>
      <c r="L11" s="132" t="n">
        <v>0.0121412037037037</v>
      </c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28" t="inlineStr">
        <is>
          <t>13:16:02</t>
        </is>
      </c>
      <c r="C12" s="129" t="inlineStr">
        <is>
          <t>17:30:24</t>
        </is>
      </c>
      <c r="D12" s="130" t="inlineStr">
        <is>
          <t>04:14:22</t>
        </is>
      </c>
      <c r="E12" s="128" t="n"/>
      <c r="F12" s="129" t="n"/>
      <c r="G12" s="130" t="n"/>
      <c r="H12" s="128" t="n"/>
      <c r="I12" s="129" t="n"/>
      <c r="J12" s="130" t="n"/>
      <c r="K12" s="117" t="inlineStr">
        <is>
          <t>04:14:22</t>
        </is>
      </c>
      <c r="L12" s="132" t="n">
        <v>0.009976851851851851</v>
      </c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28" t="inlineStr">
        <is>
          <t>06:55:52</t>
        </is>
      </c>
      <c r="C13" s="129" t="inlineStr">
        <is>
          <t>11:00:54</t>
        </is>
      </c>
      <c r="D13" s="130" t="inlineStr">
        <is>
          <t>04:05:02</t>
        </is>
      </c>
      <c r="E13" s="128" t="n"/>
      <c r="F13" s="129" t="n"/>
      <c r="G13" s="130" t="n"/>
      <c r="H13" s="128" t="n"/>
      <c r="I13" s="129" t="n"/>
      <c r="J13" s="130" t="n"/>
      <c r="K13" s="117" t="inlineStr">
        <is>
          <t>04:05:02</t>
        </is>
      </c>
      <c r="L13" s="132" t="n">
        <v>0.00349537037037037</v>
      </c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34" t="inlineStr">
        <is>
          <t>13:26:34</t>
        </is>
      </c>
      <c r="C14" s="135" t="inlineStr">
        <is>
          <t>17:31:41</t>
        </is>
      </c>
      <c r="D14" s="136" t="inlineStr">
        <is>
          <t>04:05:07</t>
        </is>
      </c>
      <c r="E14" s="134" t="n"/>
      <c r="F14" s="135" t="n"/>
      <c r="G14" s="136" t="n"/>
      <c r="H14" s="134" t="n"/>
      <c r="I14" s="135" t="n"/>
      <c r="J14" s="136" t="n"/>
      <c r="K14" s="124" t="inlineStr">
        <is>
          <t>04:05:07</t>
        </is>
      </c>
      <c r="L14" s="137" t="n">
        <v>0.003553240740740741</v>
      </c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118" t="n"/>
      <c r="C15" s="118" t="n"/>
      <c r="D15" s="119" t="n"/>
      <c r="E15" s="118" t="n"/>
      <c r="F15" s="118" t="n"/>
      <c r="G15" s="119" t="n"/>
      <c r="H15" s="118" t="n"/>
      <c r="I15" s="118" t="n"/>
      <c r="J15" s="119" t="n"/>
      <c r="K15" s="119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121" t="n"/>
      <c r="C16" s="121" t="n"/>
      <c r="D16" s="64" t="n"/>
      <c r="E16" s="121" t="n"/>
      <c r="F16" s="121" t="n"/>
      <c r="G16" s="64" t="n"/>
      <c r="H16" s="121" t="n"/>
      <c r="I16" s="121" t="n"/>
      <c r="J16" s="64" t="n"/>
      <c r="K16" s="64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93" t="inlineStr">
        <is>
          <t>11:49:02</t>
        </is>
      </c>
      <c r="C17" s="95" t="inlineStr">
        <is>
          <t>13:00:01</t>
        </is>
      </c>
      <c r="D17" s="97" t="inlineStr">
        <is>
          <t>01:10:59</t>
        </is>
      </c>
      <c r="E17" s="93" t="inlineStr">
        <is>
          <t>14:36:03</t>
        </is>
      </c>
      <c r="F17" s="95" t="inlineStr">
        <is>
          <t>17:30:15</t>
        </is>
      </c>
      <c r="G17" s="97" t="inlineStr">
        <is>
          <t>02:54:12</t>
        </is>
      </c>
      <c r="H17" s="93" t="n"/>
      <c r="I17" s="95" t="n"/>
      <c r="J17" s="97" t="n"/>
      <c r="K17" s="109" t="inlineStr">
        <is>
          <t>04:05:11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128" t="inlineStr">
        <is>
          <t>06:46:45</t>
        </is>
      </c>
      <c r="C18" s="129" t="inlineStr">
        <is>
          <t>11:00:16</t>
        </is>
      </c>
      <c r="D18" s="130" t="inlineStr">
        <is>
          <t>04:13:31</t>
        </is>
      </c>
      <c r="E18" s="128" t="n"/>
      <c r="F18" s="129" t="n"/>
      <c r="G18" s="130" t="n"/>
      <c r="H18" s="128" t="n"/>
      <c r="I18" s="129" t="n"/>
      <c r="J18" s="130" t="n"/>
      <c r="K18" s="117" t="inlineStr">
        <is>
          <t>04:13:31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128" t="inlineStr">
        <is>
          <t>13:14:08</t>
        </is>
      </c>
      <c r="C19" s="129" t="inlineStr">
        <is>
          <t>17:28:17</t>
        </is>
      </c>
      <c r="D19" s="130" t="inlineStr">
        <is>
          <t>04:14:09</t>
        </is>
      </c>
      <c r="E19" s="128" t="n"/>
      <c r="F19" s="129" t="n"/>
      <c r="G19" s="130" t="n"/>
      <c r="H19" s="128" t="n"/>
      <c r="I19" s="129" t="n"/>
      <c r="J19" s="130" t="n"/>
      <c r="K19" s="117" t="inlineStr">
        <is>
          <t>04:14:09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128" t="inlineStr">
        <is>
          <t>06:45:20</t>
        </is>
      </c>
      <c r="C20" s="129" t="inlineStr">
        <is>
          <t>11:00:15</t>
        </is>
      </c>
      <c r="D20" s="130" t="inlineStr">
        <is>
          <t>04:14:55</t>
        </is>
      </c>
      <c r="E20" s="128" t="n"/>
      <c r="F20" s="129" t="n"/>
      <c r="G20" s="130" t="n"/>
      <c r="H20" s="128" t="n"/>
      <c r="I20" s="129" t="n"/>
      <c r="J20" s="130" t="n"/>
      <c r="K20" s="117" t="inlineStr">
        <is>
          <t>04:14:55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134" t="n"/>
      <c r="C21" s="135" t="n"/>
      <c r="D21" s="136" t="n"/>
      <c r="E21" s="134" t="n"/>
      <c r="F21" s="135" t="n"/>
      <c r="G21" s="136" t="n"/>
      <c r="H21" s="134" t="n"/>
      <c r="I21" s="135" t="n"/>
      <c r="J21" s="136" t="n"/>
      <c r="K21" s="124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118" t="n"/>
      <c r="C22" s="118" t="n"/>
      <c r="D22" s="119" t="n"/>
      <c r="E22" s="118" t="n"/>
      <c r="F22" s="118" t="n"/>
      <c r="G22" s="119" t="n"/>
      <c r="H22" s="118" t="n"/>
      <c r="I22" s="118" t="n"/>
      <c r="J22" s="119" t="n"/>
      <c r="K22" s="119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121" t="n"/>
      <c r="C23" s="121" t="n"/>
      <c r="D23" s="64" t="n"/>
      <c r="E23" s="121" t="n"/>
      <c r="F23" s="121" t="n"/>
      <c r="G23" s="64" t="n"/>
      <c r="H23" s="121" t="n"/>
      <c r="I23" s="121" t="n"/>
      <c r="J23" s="64" t="n"/>
      <c r="K23" s="64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93" t="n"/>
      <c r="C24" s="95" t="n"/>
      <c r="D24" s="97" t="n"/>
      <c r="E24" s="93" t="n"/>
      <c r="F24" s="95" t="n"/>
      <c r="G24" s="97" t="n"/>
      <c r="H24" s="93" t="n"/>
      <c r="I24" s="95" t="n"/>
      <c r="J24" s="97" t="n"/>
      <c r="K24" s="109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128" t="n"/>
      <c r="C25" s="129" t="n"/>
      <c r="D25" s="130" t="n"/>
      <c r="E25" s="128" t="n"/>
      <c r="F25" s="129" t="n"/>
      <c r="G25" s="130" t="n"/>
      <c r="H25" s="128" t="n"/>
      <c r="I25" s="129" t="n"/>
      <c r="J25" s="130" t="n"/>
      <c r="K25" s="117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128" t="n"/>
      <c r="C26" s="129" t="n"/>
      <c r="D26" s="130" t="n"/>
      <c r="E26" s="128" t="n"/>
      <c r="F26" s="129" t="n"/>
      <c r="G26" s="130" t="n"/>
      <c r="H26" s="128" t="n"/>
      <c r="I26" s="129" t="n"/>
      <c r="J26" s="130" t="n"/>
      <c r="K26" s="117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128" t="n"/>
      <c r="C27" s="129" t="n"/>
      <c r="D27" s="130" t="n"/>
      <c r="E27" s="128" t="n"/>
      <c r="F27" s="129" t="n"/>
      <c r="G27" s="130" t="n"/>
      <c r="H27" s="128" t="n"/>
      <c r="I27" s="129" t="n"/>
      <c r="J27" s="130" t="n"/>
      <c r="K27" s="117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134" t="n"/>
      <c r="C28" s="135" t="n"/>
      <c r="D28" s="136" t="n"/>
      <c r="E28" s="134" t="n"/>
      <c r="F28" s="135" t="n"/>
      <c r="G28" s="136" t="n"/>
      <c r="H28" s="134" t="n"/>
      <c r="I28" s="135" t="n"/>
      <c r="J28" s="136" t="n"/>
      <c r="K28" s="124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118" t="n"/>
      <c r="C29" s="118" t="n"/>
      <c r="D29" s="119" t="n"/>
      <c r="E29" s="118" t="n"/>
      <c r="F29" s="118" t="n"/>
      <c r="G29" s="119" t="n"/>
      <c r="H29" s="118" t="n"/>
      <c r="I29" s="118" t="n"/>
      <c r="J29" s="119" t="n"/>
      <c r="K29" s="119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121" t="n"/>
      <c r="C30" s="121" t="n"/>
      <c r="D30" s="64" t="n"/>
      <c r="E30" s="121" t="n"/>
      <c r="F30" s="121" t="n"/>
      <c r="G30" s="64" t="n"/>
      <c r="H30" s="121" t="n"/>
      <c r="I30" s="121" t="n"/>
      <c r="J30" s="64" t="n"/>
      <c r="K30" s="64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93" t="n"/>
      <c r="C31" s="95" t="n"/>
      <c r="D31" s="97" t="n"/>
      <c r="E31" s="93" t="n"/>
      <c r="F31" s="95" t="n"/>
      <c r="G31" s="97" t="n"/>
      <c r="H31" s="93" t="n"/>
      <c r="I31" s="95" t="n"/>
      <c r="J31" s="97" t="n"/>
      <c r="K31" s="109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128" t="n"/>
      <c r="C32" s="129" t="n"/>
      <c r="D32" s="130" t="n"/>
      <c r="E32" s="128" t="n"/>
      <c r="F32" s="129" t="n"/>
      <c r="G32" s="130" t="n"/>
      <c r="H32" s="128" t="n"/>
      <c r="I32" s="129" t="n"/>
      <c r="J32" s="130" t="n"/>
      <c r="K32" s="117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128" t="n"/>
      <c r="C33" s="129" t="n"/>
      <c r="D33" s="130" t="n"/>
      <c r="E33" s="128" t="n"/>
      <c r="F33" s="129" t="n"/>
      <c r="G33" s="130" t="n"/>
      <c r="H33" s="128" t="n"/>
      <c r="I33" s="129" t="n"/>
      <c r="J33" s="130" t="n"/>
      <c r="K33" s="117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128" t="n"/>
      <c r="C34" s="129" t="n"/>
      <c r="D34" s="130" t="n"/>
      <c r="E34" s="128" t="n"/>
      <c r="F34" s="129" t="n"/>
      <c r="G34" s="130" t="n"/>
      <c r="H34" s="128" t="n"/>
      <c r="I34" s="129" t="n"/>
      <c r="J34" s="130" t="n"/>
      <c r="K34" s="117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134" t="n"/>
      <c r="C35" s="135" t="n"/>
      <c r="D35" s="136" t="n"/>
      <c r="E35" s="134" t="n"/>
      <c r="F35" s="135" t="n"/>
      <c r="G35" s="136" t="n"/>
      <c r="H35" s="134" t="n"/>
      <c r="I35" s="135" t="n"/>
      <c r="J35" s="136" t="n"/>
      <c r="K35" s="124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118" t="n"/>
      <c r="C36" s="118" t="n"/>
      <c r="D36" s="119" t="n"/>
      <c r="E36" s="118" t="n"/>
      <c r="F36" s="118" t="n"/>
      <c r="G36" s="119" t="n"/>
      <c r="H36" s="118" t="n"/>
      <c r="I36" s="118" t="n"/>
      <c r="J36" s="119" t="n"/>
      <c r="K36" s="119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121" t="n"/>
      <c r="C37" s="121" t="n"/>
      <c r="D37" s="64" t="n"/>
      <c r="E37" s="121" t="n"/>
      <c r="F37" s="121" t="n"/>
      <c r="G37" s="64" t="n"/>
      <c r="H37" s="121" t="n"/>
      <c r="I37" s="121" t="n"/>
      <c r="J37" s="64" t="n"/>
      <c r="K37" s="64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93" t="n"/>
      <c r="C38" s="95" t="n"/>
      <c r="D38" s="97" t="n"/>
      <c r="E38" s="93" t="n"/>
      <c r="F38" s="95" t="n"/>
      <c r="G38" s="97" t="n"/>
      <c r="H38" s="93" t="n"/>
      <c r="I38" s="95" t="n"/>
      <c r="J38" s="97" t="n"/>
      <c r="K38" s="109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128" t="n"/>
      <c r="C39" s="129" t="n"/>
      <c r="D39" s="130" t="n"/>
      <c r="E39" s="128" t="n"/>
      <c r="F39" s="129" t="n"/>
      <c r="G39" s="130" t="n"/>
      <c r="H39" s="128" t="n"/>
      <c r="I39" s="129" t="n"/>
      <c r="J39" s="130" t="n"/>
      <c r="K39" s="117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128" t="n"/>
      <c r="C40" s="129" t="n"/>
      <c r="D40" s="130" t="n"/>
      <c r="E40" s="128" t="n"/>
      <c r="F40" s="129" t="n"/>
      <c r="G40" s="130" t="n"/>
      <c r="H40" s="128" t="n"/>
      <c r="I40" s="129" t="n"/>
      <c r="J40" s="130" t="n"/>
      <c r="K40" s="117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128" t="n"/>
      <c r="C41" s="129" t="n"/>
      <c r="D41" s="130" t="n"/>
      <c r="E41" s="128" t="n"/>
      <c r="F41" s="129" t="n"/>
      <c r="G41" s="130" t="n"/>
      <c r="H41" s="128" t="n"/>
      <c r="I41" s="129" t="n"/>
      <c r="J41" s="130" t="n"/>
      <c r="K41" s="117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134" t="n"/>
      <c r="C42" s="135" t="n"/>
      <c r="D42" s="136" t="n"/>
      <c r="E42" s="134" t="n"/>
      <c r="F42" s="135" t="n"/>
      <c r="G42" s="136" t="n"/>
      <c r="H42" s="134" t="n"/>
      <c r="I42" s="135" t="n"/>
      <c r="J42" s="136" t="n"/>
      <c r="K42" s="124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118" t="n"/>
      <c r="C43" s="118" t="n"/>
      <c r="D43" s="119" t="n"/>
      <c r="E43" s="118" t="n"/>
      <c r="F43" s="118" t="n"/>
      <c r="G43" s="119" t="n"/>
      <c r="H43" s="118" t="n"/>
      <c r="I43" s="118" t="n"/>
      <c r="J43" s="119" t="n"/>
      <c r="K43" s="119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121" t="n"/>
      <c r="C44" s="121" t="n"/>
      <c r="D44" s="64" t="n"/>
      <c r="E44" s="121" t="n"/>
      <c r="F44" s="121" t="n"/>
      <c r="G44" s="64" t="n"/>
      <c r="H44" s="121" t="n"/>
      <c r="I44" s="121" t="n"/>
      <c r="J44" s="64" t="n"/>
      <c r="K44" s="64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93" t="n"/>
      <c r="C45" s="95" t="n"/>
      <c r="D45" s="97" t="n"/>
      <c r="E45" s="93" t="n"/>
      <c r="F45" s="95" t="n"/>
      <c r="G45" s="97" t="n"/>
      <c r="H45" s="93" t="n"/>
      <c r="I45" s="95" t="n"/>
      <c r="J45" s="97" t="n"/>
      <c r="K45" s="109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128" t="n"/>
      <c r="C46" s="129" t="n"/>
      <c r="D46" s="130" t="n"/>
      <c r="E46" s="128" t="n"/>
      <c r="F46" s="129" t="n"/>
      <c r="G46" s="130" t="n"/>
      <c r="H46" s="128" t="n"/>
      <c r="I46" s="129" t="n"/>
      <c r="J46" s="130" t="n"/>
      <c r="K46" s="117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128" t="n"/>
      <c r="C47" s="129" t="n"/>
      <c r="D47" s="130" t="n"/>
      <c r="E47" s="128" t="n"/>
      <c r="F47" s="129" t="n"/>
      <c r="G47" s="130" t="n"/>
      <c r="H47" s="128" t="n"/>
      <c r="I47" s="129" t="n"/>
      <c r="J47" s="130" t="n"/>
      <c r="K47" s="117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128" t="n"/>
      <c r="C48" s="129" t="n"/>
      <c r="D48" s="130" t="n"/>
      <c r="E48" s="128" t="n"/>
      <c r="F48" s="129" t="n"/>
      <c r="G48" s="130" t="n"/>
      <c r="H48" s="128" t="n"/>
      <c r="I48" s="129" t="n"/>
      <c r="J48" s="130" t="n"/>
      <c r="K48" s="117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134" t="n"/>
      <c r="C49" s="135" t="n"/>
      <c r="D49" s="136" t="n"/>
      <c r="E49" s="134" t="n"/>
      <c r="F49" s="135" t="n"/>
      <c r="G49" s="136" t="n"/>
      <c r="H49" s="134" t="n"/>
      <c r="I49" s="135" t="n"/>
      <c r="J49" s="136" t="n"/>
      <c r="K49" s="124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118" t="n"/>
      <c r="C50" s="118" t="n"/>
      <c r="D50" s="119" t="n"/>
      <c r="E50" s="118" t="n"/>
      <c r="F50" s="118" t="n"/>
      <c r="G50" s="119" t="n"/>
      <c r="H50" s="118" t="n"/>
      <c r="I50" s="118" t="n"/>
      <c r="J50" s="119" t="n"/>
      <c r="K50" s="119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121" t="n"/>
      <c r="C51" s="121" t="n"/>
      <c r="D51" s="64" t="n"/>
      <c r="E51" s="121" t="n"/>
      <c r="F51" s="121" t="n"/>
      <c r="G51" s="64" t="n"/>
      <c r="H51" s="121" t="n"/>
      <c r="I51" s="121" t="n"/>
      <c r="J51" s="64" t="n"/>
      <c r="K51" s="64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93" t="n"/>
      <c r="C52" s="95" t="n"/>
      <c r="D52" s="97" t="n"/>
      <c r="E52" s="93" t="n"/>
      <c r="F52" s="95" t="n"/>
      <c r="G52" s="97" t="n"/>
      <c r="H52" s="93" t="n"/>
      <c r="I52" s="95" t="n"/>
      <c r="J52" s="97" t="n"/>
      <c r="K52" s="109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128" t="n"/>
      <c r="C53" s="129" t="n"/>
      <c r="D53" s="130" t="n"/>
      <c r="E53" s="128" t="n"/>
      <c r="F53" s="129" t="n"/>
      <c r="G53" s="130" t="n"/>
      <c r="H53" s="128" t="n"/>
      <c r="I53" s="129" t="n"/>
      <c r="J53" s="130" t="n"/>
      <c r="K53" s="117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128" t="n"/>
      <c r="C54" s="129" t="n"/>
      <c r="D54" s="130" t="n"/>
      <c r="E54" s="128" t="n"/>
      <c r="F54" s="129" t="n"/>
      <c r="G54" s="130" t="n"/>
      <c r="H54" s="128" t="n"/>
      <c r="I54" s="129" t="n"/>
      <c r="J54" s="130" t="n"/>
      <c r="K54" s="117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128" t="n"/>
      <c r="C55" s="129" t="n"/>
      <c r="D55" s="130" t="n"/>
      <c r="E55" s="128" t="n"/>
      <c r="F55" s="129" t="n"/>
      <c r="G55" s="130" t="n"/>
      <c r="H55" s="128" t="n"/>
      <c r="I55" s="129" t="n"/>
      <c r="J55" s="130" t="n"/>
      <c r="K55" s="117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134" t="n"/>
      <c r="C56" s="135" t="n"/>
      <c r="D56" s="136" t="n"/>
      <c r="E56" s="134" t="n"/>
      <c r="F56" s="135" t="n"/>
      <c r="G56" s="136" t="n"/>
      <c r="H56" s="134" t="n"/>
      <c r="I56" s="135" t="n"/>
      <c r="J56" s="136" t="n"/>
      <c r="K56" s="124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118" t="n"/>
      <c r="C57" s="118" t="n"/>
      <c r="D57" s="119" t="n"/>
      <c r="E57" s="118" t="n"/>
      <c r="F57" s="118" t="n"/>
      <c r="G57" s="119" t="n"/>
      <c r="H57" s="118" t="n"/>
      <c r="I57" s="118" t="n"/>
      <c r="J57" s="119" t="n"/>
      <c r="K57" s="119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121" t="n"/>
      <c r="C58" s="121" t="n"/>
      <c r="D58" s="64" t="n"/>
      <c r="E58" s="121" t="n"/>
      <c r="F58" s="121" t="n"/>
      <c r="G58" s="64" t="n"/>
      <c r="H58" s="121" t="n"/>
      <c r="I58" s="121" t="n"/>
      <c r="J58" s="64" t="n"/>
      <c r="K58" s="64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93" t="n"/>
      <c r="C59" s="95" t="n"/>
      <c r="D59" s="97" t="n"/>
      <c r="E59" s="93" t="n"/>
      <c r="F59" s="95" t="n"/>
      <c r="G59" s="97" t="n"/>
      <c r="H59" s="93" t="n"/>
      <c r="I59" s="95" t="n"/>
      <c r="J59" s="97" t="n"/>
      <c r="K59" s="109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128" t="n"/>
      <c r="C60" s="129" t="n"/>
      <c r="D60" s="130" t="n"/>
      <c r="E60" s="128" t="n"/>
      <c r="F60" s="129" t="n"/>
      <c r="G60" s="130" t="n"/>
      <c r="H60" s="128" t="n"/>
      <c r="I60" s="129" t="n"/>
      <c r="J60" s="130" t="n"/>
      <c r="K60" s="117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128" t="n"/>
      <c r="C61" s="129" t="n"/>
      <c r="D61" s="130" t="n"/>
      <c r="E61" s="128" t="n"/>
      <c r="F61" s="129" t="n"/>
      <c r="G61" s="130" t="n"/>
      <c r="H61" s="128" t="n"/>
      <c r="I61" s="129" t="n"/>
      <c r="J61" s="130" t="n"/>
      <c r="K61" s="117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128" t="n"/>
      <c r="C62" s="129" t="n"/>
      <c r="D62" s="130" t="n"/>
      <c r="E62" s="128" t="n"/>
      <c r="F62" s="129" t="n"/>
      <c r="G62" s="130" t="n"/>
      <c r="H62" s="128" t="n"/>
      <c r="I62" s="129" t="n"/>
      <c r="J62" s="130" t="n"/>
      <c r="K62" s="117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134" t="n"/>
      <c r="C63" s="135" t="n"/>
      <c r="D63" s="136" t="n"/>
      <c r="E63" s="134" t="n"/>
      <c r="F63" s="135" t="n"/>
      <c r="G63" s="136" t="n"/>
      <c r="H63" s="134" t="n"/>
      <c r="I63" s="135" t="n"/>
      <c r="J63" s="136" t="n"/>
      <c r="K63" s="124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118" t="n"/>
      <c r="C64" s="118" t="n"/>
      <c r="D64" s="119" t="n"/>
      <c r="E64" s="118" t="n"/>
      <c r="F64" s="118" t="n"/>
      <c r="G64" s="119" t="n"/>
      <c r="H64" s="118" t="n"/>
      <c r="I64" s="118" t="n"/>
      <c r="J64" s="119" t="n"/>
      <c r="K64" s="119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121" t="n"/>
      <c r="C65" s="121" t="n"/>
      <c r="D65" s="64" t="n"/>
      <c r="E65" s="121" t="n"/>
      <c r="F65" s="121" t="n"/>
      <c r="G65" s="64" t="n"/>
      <c r="H65" s="121" t="n"/>
      <c r="I65" s="121" t="n"/>
      <c r="J65" s="64" t="n"/>
      <c r="K65" s="64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93" t="n"/>
      <c r="C66" s="95" t="n"/>
      <c r="D66" s="97" t="n"/>
      <c r="E66" s="93" t="n"/>
      <c r="F66" s="95" t="n"/>
      <c r="G66" s="97" t="n"/>
      <c r="H66" s="93" t="n"/>
      <c r="I66" s="95" t="n"/>
      <c r="J66" s="97" t="n"/>
      <c r="K66" s="109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128" t="n"/>
      <c r="C67" s="129" t="n"/>
      <c r="D67" s="130" t="n"/>
      <c r="E67" s="128" t="n"/>
      <c r="F67" s="129" t="n"/>
      <c r="G67" s="130" t="n"/>
      <c r="H67" s="128" t="n"/>
      <c r="I67" s="129" t="n"/>
      <c r="J67" s="130" t="n"/>
      <c r="K67" s="117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128" t="n"/>
      <c r="C68" s="129" t="n"/>
      <c r="D68" s="130" t="n"/>
      <c r="E68" s="128" t="n"/>
      <c r="F68" s="129" t="n"/>
      <c r="G68" s="130" t="n"/>
      <c r="H68" s="128" t="n"/>
      <c r="I68" s="129" t="n"/>
      <c r="J68" s="130" t="n"/>
      <c r="K68" s="117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128" t="n"/>
      <c r="C69" s="129" t="n"/>
      <c r="D69" s="130" t="n"/>
      <c r="E69" s="128" t="n"/>
      <c r="F69" s="129" t="n"/>
      <c r="G69" s="130" t="n"/>
      <c r="H69" s="128" t="n"/>
      <c r="I69" s="129" t="n"/>
      <c r="J69" s="130" t="n"/>
      <c r="K69" s="117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134" t="n"/>
      <c r="C70" s="135" t="n"/>
      <c r="D70" s="136" t="n"/>
      <c r="E70" s="134" t="n"/>
      <c r="F70" s="135" t="n"/>
      <c r="G70" s="136" t="n"/>
      <c r="H70" s="134" t="n"/>
      <c r="I70" s="135" t="n"/>
      <c r="J70" s="136" t="n"/>
      <c r="K70" s="124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118" t="n"/>
      <c r="C71" s="118" t="n"/>
      <c r="D71" s="119" t="n"/>
      <c r="E71" s="118" t="n"/>
      <c r="F71" s="118" t="n"/>
      <c r="G71" s="119" t="n"/>
      <c r="H71" s="118" t="n"/>
      <c r="I71" s="118" t="n"/>
      <c r="J71" s="119" t="n"/>
      <c r="K71" s="119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121" t="n"/>
      <c r="C72" s="121" t="n"/>
      <c r="D72" s="64" t="n"/>
      <c r="E72" s="121" t="n"/>
      <c r="F72" s="121" t="n"/>
      <c r="G72" s="64" t="n"/>
      <c r="H72" s="121" t="n"/>
      <c r="I72" s="121" t="n"/>
      <c r="J72" s="64" t="n"/>
      <c r="K72" s="64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93" t="n"/>
      <c r="C73" s="95" t="n"/>
      <c r="D73" s="97" t="n"/>
      <c r="E73" s="93" t="n"/>
      <c r="F73" s="95" t="n"/>
      <c r="G73" s="97" t="n"/>
      <c r="H73" s="93" t="n"/>
      <c r="I73" s="95" t="n"/>
      <c r="J73" s="97" t="n"/>
      <c r="K73" s="109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128" t="n"/>
      <c r="C74" s="129" t="n"/>
      <c r="D74" s="130" t="n"/>
      <c r="E74" s="128" t="n"/>
      <c r="F74" s="129" t="n"/>
      <c r="G74" s="130" t="n"/>
      <c r="H74" s="128" t="n"/>
      <c r="I74" s="129" t="n"/>
      <c r="J74" s="130" t="n"/>
      <c r="K74" s="117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128" t="n"/>
      <c r="C75" s="129" t="n"/>
      <c r="D75" s="130" t="n"/>
      <c r="E75" s="128" t="n"/>
      <c r="F75" s="129" t="n"/>
      <c r="G75" s="130" t="n"/>
      <c r="H75" s="128" t="n"/>
      <c r="I75" s="129" t="n"/>
      <c r="J75" s="130" t="n"/>
      <c r="K75" s="117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128" t="n"/>
      <c r="C76" s="129" t="n"/>
      <c r="D76" s="130" t="n"/>
      <c r="E76" s="128" t="n"/>
      <c r="F76" s="129" t="n"/>
      <c r="G76" s="130" t="n"/>
      <c r="H76" s="128" t="n"/>
      <c r="I76" s="129" t="n"/>
      <c r="J76" s="130" t="n"/>
      <c r="K76" s="117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134" t="n"/>
      <c r="C77" s="135" t="n"/>
      <c r="D77" s="136" t="n"/>
      <c r="E77" s="134" t="n"/>
      <c r="F77" s="135" t="n"/>
      <c r="G77" s="136" t="n"/>
      <c r="H77" s="134" t="n"/>
      <c r="I77" s="135" t="n"/>
      <c r="J77" s="136" t="n"/>
      <c r="K77" s="124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118" t="n"/>
      <c r="C78" s="118" t="n"/>
      <c r="D78" s="119" t="n"/>
      <c r="E78" s="118" t="n"/>
      <c r="F78" s="118" t="n"/>
      <c r="G78" s="119" t="n"/>
      <c r="H78" s="118" t="n"/>
      <c r="I78" s="118" t="n"/>
      <c r="J78" s="119" t="n"/>
      <c r="K78" s="119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121" t="n"/>
      <c r="C79" s="121" t="n"/>
      <c r="D79" s="64" t="n"/>
      <c r="E79" s="121" t="n"/>
      <c r="F79" s="121" t="n"/>
      <c r="G79" s="64" t="n"/>
      <c r="H79" s="121" t="n"/>
      <c r="I79" s="121" t="n"/>
      <c r="J79" s="64" t="n"/>
      <c r="K79" s="64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93" t="n"/>
      <c r="C80" s="95" t="n"/>
      <c r="D80" s="97" t="n"/>
      <c r="E80" s="93" t="n"/>
      <c r="F80" s="95" t="n"/>
      <c r="G80" s="97" t="n"/>
      <c r="H80" s="93" t="n"/>
      <c r="I80" s="95" t="n"/>
      <c r="J80" s="97" t="n"/>
      <c r="K80" s="109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128" t="n"/>
      <c r="C81" s="129" t="n"/>
      <c r="D81" s="130" t="n"/>
      <c r="E81" s="128" t="n"/>
      <c r="F81" s="129" t="n"/>
      <c r="G81" s="130" t="n"/>
      <c r="H81" s="128" t="n"/>
      <c r="I81" s="129" t="n"/>
      <c r="J81" s="130" t="n"/>
      <c r="K81" s="117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128" t="n"/>
      <c r="C82" s="129" t="n"/>
      <c r="D82" s="130" t="n"/>
      <c r="E82" s="128" t="n"/>
      <c r="F82" s="129" t="n"/>
      <c r="G82" s="130" t="n"/>
      <c r="H82" s="128" t="n"/>
      <c r="I82" s="129" t="n"/>
      <c r="J82" s="130" t="n"/>
      <c r="K82" s="117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128" t="n"/>
      <c r="C83" s="129" t="n"/>
      <c r="D83" s="130" t="n"/>
      <c r="E83" s="128" t="n"/>
      <c r="F83" s="129" t="n"/>
      <c r="G83" s="130" t="n"/>
      <c r="H83" s="128" t="n"/>
      <c r="I83" s="129" t="n"/>
      <c r="J83" s="130" t="n"/>
      <c r="K83" s="117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134" t="n"/>
      <c r="C84" s="135" t="n"/>
      <c r="D84" s="136" t="n"/>
      <c r="E84" s="134" t="n"/>
      <c r="F84" s="135" t="n"/>
      <c r="G84" s="136" t="n"/>
      <c r="H84" s="134" t="n"/>
      <c r="I84" s="135" t="n"/>
      <c r="J84" s="136" t="n"/>
      <c r="K84" s="124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118" t="n"/>
      <c r="C85" s="118" t="n"/>
      <c r="D85" s="119" t="n"/>
      <c r="E85" s="118" t="n"/>
      <c r="F85" s="118" t="n"/>
      <c r="G85" s="119" t="n"/>
      <c r="H85" s="118" t="n"/>
      <c r="I85" s="118" t="n"/>
      <c r="J85" s="119" t="n"/>
      <c r="K85" s="119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121" t="n"/>
      <c r="C86" s="121" t="n"/>
      <c r="D86" s="64" t="n"/>
      <c r="E86" s="121" t="n"/>
      <c r="F86" s="121" t="n"/>
      <c r="G86" s="64" t="n"/>
      <c r="H86" s="121" t="n"/>
      <c r="I86" s="121" t="n"/>
      <c r="J86" s="64" t="n"/>
      <c r="K86" s="64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93" t="n"/>
      <c r="C87" s="95" t="n"/>
      <c r="D87" s="97" t="n"/>
      <c r="E87" s="93" t="n"/>
      <c r="F87" s="95" t="n"/>
      <c r="G87" s="97" t="n"/>
      <c r="H87" s="93" t="n"/>
      <c r="I87" s="95" t="n"/>
      <c r="J87" s="97" t="n"/>
      <c r="K87" s="109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128" t="n"/>
      <c r="C88" s="129" t="n"/>
      <c r="D88" s="130" t="n"/>
      <c r="E88" s="128" t="n"/>
      <c r="F88" s="129" t="n"/>
      <c r="G88" s="130" t="n"/>
      <c r="H88" s="128" t="n"/>
      <c r="I88" s="129" t="n"/>
      <c r="J88" s="130" t="n"/>
      <c r="K88" s="117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128" t="n"/>
      <c r="C89" s="129" t="n"/>
      <c r="D89" s="130" t="n"/>
      <c r="E89" s="128" t="n"/>
      <c r="F89" s="129" t="n"/>
      <c r="G89" s="130" t="n"/>
      <c r="H89" s="128" t="n"/>
      <c r="I89" s="129" t="n"/>
      <c r="J89" s="130" t="n"/>
      <c r="K89" s="117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128" t="n"/>
      <c r="C90" s="129" t="n"/>
      <c r="D90" s="130" t="n"/>
      <c r="E90" s="128" t="n"/>
      <c r="F90" s="129" t="n"/>
      <c r="G90" s="130" t="n"/>
      <c r="H90" s="128" t="n"/>
      <c r="I90" s="129" t="n"/>
      <c r="J90" s="130" t="n"/>
      <c r="K90" s="117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134" t="n"/>
      <c r="C91" s="135" t="n"/>
      <c r="D91" s="136" t="n"/>
      <c r="E91" s="134" t="n"/>
      <c r="F91" s="135" t="n"/>
      <c r="G91" s="136" t="n"/>
      <c r="H91" s="134" t="n"/>
      <c r="I91" s="135" t="n"/>
      <c r="J91" s="136" t="n"/>
      <c r="K91" s="124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118" t="n"/>
      <c r="C92" s="118" t="n"/>
      <c r="D92" s="119" t="n"/>
      <c r="E92" s="118" t="n"/>
      <c r="F92" s="118" t="n"/>
      <c r="G92" s="119" t="n"/>
      <c r="H92" s="118" t="n"/>
      <c r="I92" s="118" t="n"/>
      <c r="J92" s="119" t="n"/>
      <c r="K92" s="119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121" t="n"/>
      <c r="C93" s="121" t="n"/>
      <c r="D93" s="64" t="n"/>
      <c r="E93" s="121" t="n"/>
      <c r="F93" s="121" t="n"/>
      <c r="G93" s="64" t="n"/>
      <c r="H93" s="121" t="n"/>
      <c r="I93" s="121" t="n"/>
      <c r="J93" s="64" t="n"/>
      <c r="K93" s="64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93" t="n"/>
      <c r="C94" s="95" t="n"/>
      <c r="D94" s="97" t="n"/>
      <c r="E94" s="93" t="n"/>
      <c r="F94" s="95" t="n"/>
      <c r="G94" s="97" t="n"/>
      <c r="H94" s="93" t="n"/>
      <c r="I94" s="95" t="n"/>
      <c r="J94" s="97" t="n"/>
      <c r="K94" s="109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128" t="n"/>
      <c r="C95" s="129" t="n"/>
      <c r="D95" s="130" t="n"/>
      <c r="E95" s="128" t="n"/>
      <c r="F95" s="129" t="n"/>
      <c r="G95" s="130" t="n"/>
      <c r="H95" s="128" t="n"/>
      <c r="I95" s="129" t="n"/>
      <c r="J95" s="130" t="n"/>
      <c r="K95" s="117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128" t="n"/>
      <c r="C96" s="129" t="n"/>
      <c r="D96" s="130" t="n"/>
      <c r="E96" s="128" t="n"/>
      <c r="F96" s="129" t="n"/>
      <c r="G96" s="130" t="n"/>
      <c r="H96" s="128" t="n"/>
      <c r="I96" s="129" t="n"/>
      <c r="J96" s="130" t="n"/>
      <c r="K96" s="117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128" t="n"/>
      <c r="C97" s="129" t="n"/>
      <c r="D97" s="130" t="n"/>
      <c r="E97" s="128" t="n"/>
      <c r="F97" s="129" t="n"/>
      <c r="G97" s="130" t="n"/>
      <c r="H97" s="128" t="n"/>
      <c r="I97" s="129" t="n"/>
      <c r="J97" s="130" t="n"/>
      <c r="K97" s="117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134" t="n"/>
      <c r="C98" s="135" t="n"/>
      <c r="D98" s="136" t="n"/>
      <c r="E98" s="134" t="n"/>
      <c r="F98" s="135" t="n"/>
      <c r="G98" s="136" t="n"/>
      <c r="H98" s="134" t="n"/>
      <c r="I98" s="135" t="n"/>
      <c r="J98" s="136" t="n"/>
      <c r="K98" s="124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118" t="n"/>
      <c r="C99" s="118" t="n"/>
      <c r="D99" s="119" t="n"/>
      <c r="E99" s="118" t="n"/>
      <c r="F99" s="118" t="n"/>
      <c r="G99" s="119" t="n"/>
      <c r="H99" s="118" t="n"/>
      <c r="I99" s="118" t="n"/>
      <c r="J99" s="119" t="n"/>
      <c r="K99" s="119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121" t="n"/>
      <c r="C100" s="121" t="n"/>
      <c r="D100" s="64" t="n"/>
      <c r="E100" s="121" t="n"/>
      <c r="F100" s="121" t="n"/>
      <c r="G100" s="64" t="n"/>
      <c r="H100" s="121" t="n"/>
      <c r="I100" s="121" t="n"/>
      <c r="J100" s="64" t="n"/>
      <c r="K100" s="64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93" t="n"/>
      <c r="C101" s="95" t="n"/>
      <c r="D101" s="97" t="n"/>
      <c r="E101" s="93" t="n"/>
      <c r="F101" s="95" t="n"/>
      <c r="G101" s="97" t="n"/>
      <c r="H101" s="93" t="n"/>
      <c r="I101" s="95" t="n"/>
      <c r="J101" s="97" t="n"/>
      <c r="K101" s="109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128" t="n"/>
      <c r="C102" s="129" t="n"/>
      <c r="D102" s="130" t="n"/>
      <c r="E102" s="128" t="n"/>
      <c r="F102" s="129" t="n"/>
      <c r="G102" s="130" t="n"/>
      <c r="H102" s="128" t="n"/>
      <c r="I102" s="129" t="n"/>
      <c r="J102" s="130" t="n"/>
      <c r="K102" s="117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128" t="n"/>
      <c r="C103" s="129" t="n"/>
      <c r="D103" s="130" t="n"/>
      <c r="E103" s="128" t="n"/>
      <c r="F103" s="129" t="n"/>
      <c r="G103" s="130" t="n"/>
      <c r="H103" s="128" t="n"/>
      <c r="I103" s="129" t="n"/>
      <c r="J103" s="130" t="n"/>
      <c r="K103" s="117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128" t="n"/>
      <c r="C104" s="129" t="n"/>
      <c r="D104" s="130" t="n"/>
      <c r="E104" s="128" t="n"/>
      <c r="F104" s="129" t="n"/>
      <c r="G104" s="130" t="n"/>
      <c r="H104" s="128" t="n"/>
      <c r="I104" s="129" t="n"/>
      <c r="J104" s="130" t="n"/>
      <c r="K104" s="117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134" t="n"/>
      <c r="C105" s="135" t="n"/>
      <c r="D105" s="136" t="n"/>
      <c r="E105" s="134" t="n"/>
      <c r="F105" s="135" t="n"/>
      <c r="G105" s="136" t="n"/>
      <c r="H105" s="134" t="n"/>
      <c r="I105" s="135" t="n"/>
      <c r="J105" s="136" t="n"/>
      <c r="K105" s="124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118" t="n"/>
      <c r="C106" s="118" t="n"/>
      <c r="D106" s="119" t="n"/>
      <c r="E106" s="118" t="n"/>
      <c r="F106" s="118" t="n"/>
      <c r="G106" s="119" t="n"/>
      <c r="H106" s="118" t="n"/>
      <c r="I106" s="118" t="n"/>
      <c r="J106" s="119" t="n"/>
      <c r="K106" s="119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121" t="n"/>
      <c r="C107" s="121" t="n"/>
      <c r="D107" s="64" t="n"/>
      <c r="E107" s="121" t="n"/>
      <c r="F107" s="121" t="n"/>
      <c r="G107" s="64" t="n"/>
      <c r="H107" s="121" t="n"/>
      <c r="I107" s="121" t="n"/>
      <c r="J107" s="64" t="n"/>
      <c r="K107" s="64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93" t="n"/>
      <c r="C108" s="95" t="n"/>
      <c r="D108" s="97" t="n"/>
      <c r="E108" s="93" t="n"/>
      <c r="F108" s="95" t="n"/>
      <c r="G108" s="97" t="n"/>
      <c r="H108" s="93" t="n"/>
      <c r="I108" s="95" t="n"/>
      <c r="J108" s="97" t="n"/>
      <c r="K108" s="109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128" t="n"/>
      <c r="C109" s="129" t="n"/>
      <c r="D109" s="130" t="n"/>
      <c r="E109" s="128" t="n"/>
      <c r="F109" s="129" t="n"/>
      <c r="G109" s="130" t="n"/>
      <c r="H109" s="128" t="n"/>
      <c r="I109" s="129" t="n"/>
      <c r="J109" s="130" t="n"/>
      <c r="K109" s="117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128" t="n"/>
      <c r="C110" s="129" t="n"/>
      <c r="D110" s="130" t="n"/>
      <c r="E110" s="128" t="n"/>
      <c r="F110" s="129" t="n"/>
      <c r="G110" s="130" t="n"/>
      <c r="H110" s="128" t="n"/>
      <c r="I110" s="129" t="n"/>
      <c r="J110" s="130" t="n"/>
      <c r="K110" s="117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128" t="n"/>
      <c r="C111" s="129" t="n"/>
      <c r="D111" s="130" t="n"/>
      <c r="E111" s="128" t="n"/>
      <c r="F111" s="129" t="n"/>
      <c r="G111" s="130" t="n"/>
      <c r="H111" s="128" t="n"/>
      <c r="I111" s="129" t="n"/>
      <c r="J111" s="130" t="n"/>
      <c r="K111" s="117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134" t="n"/>
      <c r="C112" s="135" t="n"/>
      <c r="D112" s="136" t="n"/>
      <c r="E112" s="134" t="n"/>
      <c r="F112" s="135" t="n"/>
      <c r="G112" s="136" t="n"/>
      <c r="H112" s="134" t="n"/>
      <c r="I112" s="135" t="n"/>
      <c r="J112" s="136" t="n"/>
      <c r="K112" s="124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118" t="n"/>
      <c r="C113" s="118" t="n"/>
      <c r="D113" s="119" t="n"/>
      <c r="E113" s="118" t="n"/>
      <c r="F113" s="118" t="n"/>
      <c r="G113" s="119" t="n"/>
      <c r="H113" s="118" t="n"/>
      <c r="I113" s="118" t="n"/>
      <c r="J113" s="119" t="n"/>
      <c r="K113" s="119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121" t="n"/>
      <c r="C114" s="121" t="n"/>
      <c r="D114" s="64" t="n"/>
      <c r="E114" s="121" t="n"/>
      <c r="F114" s="121" t="n"/>
      <c r="G114" s="64" t="n"/>
      <c r="H114" s="121" t="n"/>
      <c r="I114" s="121" t="n"/>
      <c r="J114" s="64" t="n"/>
      <c r="K114" s="64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93" t="n"/>
      <c r="C115" s="95" t="n"/>
      <c r="D115" s="97" t="n"/>
      <c r="E115" s="93" t="n"/>
      <c r="F115" s="95" t="n"/>
      <c r="G115" s="97" t="n"/>
      <c r="H115" s="93" t="n"/>
      <c r="I115" s="95" t="n"/>
      <c r="J115" s="97" t="n"/>
      <c r="K115" s="109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128" t="n"/>
      <c r="C116" s="129" t="n"/>
      <c r="D116" s="130" t="n"/>
      <c r="E116" s="128" t="n"/>
      <c r="F116" s="129" t="n"/>
      <c r="G116" s="130" t="n"/>
      <c r="H116" s="128" t="n"/>
      <c r="I116" s="129" t="n"/>
      <c r="J116" s="130" t="n"/>
      <c r="K116" s="117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128" t="n"/>
      <c r="C117" s="129" t="n"/>
      <c r="D117" s="130" t="n"/>
      <c r="E117" s="128" t="n"/>
      <c r="F117" s="129" t="n"/>
      <c r="G117" s="130" t="n"/>
      <c r="H117" s="128" t="n"/>
      <c r="I117" s="129" t="n"/>
      <c r="J117" s="130" t="n"/>
      <c r="K117" s="117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128" t="n"/>
      <c r="C118" s="129" t="n"/>
      <c r="D118" s="130" t="n"/>
      <c r="E118" s="128" t="n"/>
      <c r="F118" s="129" t="n"/>
      <c r="G118" s="130" t="n"/>
      <c r="H118" s="128" t="n"/>
      <c r="I118" s="129" t="n"/>
      <c r="J118" s="130" t="n"/>
      <c r="K118" s="117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134" t="n"/>
      <c r="C119" s="135" t="n"/>
      <c r="D119" s="136" t="n"/>
      <c r="E119" s="134" t="n"/>
      <c r="F119" s="135" t="n"/>
      <c r="G119" s="136" t="n"/>
      <c r="H119" s="134" t="n"/>
      <c r="I119" s="135" t="n"/>
      <c r="J119" s="136" t="n"/>
      <c r="K119" s="124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118" t="n"/>
      <c r="C120" s="118" t="n"/>
      <c r="D120" s="119" t="n"/>
      <c r="E120" s="118" t="n"/>
      <c r="F120" s="118" t="n"/>
      <c r="G120" s="119" t="n"/>
      <c r="H120" s="118" t="n"/>
      <c r="I120" s="118" t="n"/>
      <c r="J120" s="119" t="n"/>
      <c r="K120" s="119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121" t="n"/>
      <c r="C121" s="121" t="n"/>
      <c r="D121" s="64" t="n"/>
      <c r="E121" s="121" t="n"/>
      <c r="F121" s="121" t="n"/>
      <c r="G121" s="64" t="n"/>
      <c r="H121" s="121" t="n"/>
      <c r="I121" s="121" t="n"/>
      <c r="J121" s="64" t="n"/>
      <c r="K121" s="64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93" t="n"/>
      <c r="C122" s="95" t="n"/>
      <c r="D122" s="97" t="n"/>
      <c r="E122" s="93" t="n"/>
      <c r="F122" s="95" t="n"/>
      <c r="G122" s="97" t="n"/>
      <c r="H122" s="93" t="n"/>
      <c r="I122" s="95" t="n"/>
      <c r="J122" s="97" t="n"/>
      <c r="K122" s="109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128" t="n"/>
      <c r="C123" s="129" t="n"/>
      <c r="D123" s="130" t="n"/>
      <c r="E123" s="128" t="n"/>
      <c r="F123" s="129" t="n"/>
      <c r="G123" s="130" t="n"/>
      <c r="H123" s="128" t="n"/>
      <c r="I123" s="129" t="n"/>
      <c r="J123" s="130" t="n"/>
      <c r="K123" s="117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128" t="n"/>
      <c r="C124" s="129" t="n"/>
      <c r="D124" s="130" t="n"/>
      <c r="E124" s="128" t="n"/>
      <c r="F124" s="129" t="n"/>
      <c r="G124" s="130" t="n"/>
      <c r="H124" s="128" t="n"/>
      <c r="I124" s="129" t="n"/>
      <c r="J124" s="130" t="n"/>
      <c r="K124" s="117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128" t="n"/>
      <c r="C125" s="129" t="n"/>
      <c r="D125" s="130" t="n"/>
      <c r="E125" s="128" t="n"/>
      <c r="F125" s="129" t="n"/>
      <c r="G125" s="130" t="n"/>
      <c r="H125" s="128" t="n"/>
      <c r="I125" s="129" t="n"/>
      <c r="J125" s="130" t="n"/>
      <c r="K125" s="117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134" t="n"/>
      <c r="C126" s="135" t="n"/>
      <c r="D126" s="136" t="n"/>
      <c r="E126" s="134" t="n"/>
      <c r="F126" s="135" t="n"/>
      <c r="G126" s="136" t="n"/>
      <c r="H126" s="134" t="n"/>
      <c r="I126" s="135" t="n"/>
      <c r="J126" s="136" t="n"/>
      <c r="K126" s="124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118" t="n"/>
      <c r="C127" s="118" t="n"/>
      <c r="D127" s="119" t="n"/>
      <c r="E127" s="118" t="n"/>
      <c r="F127" s="118" t="n"/>
      <c r="G127" s="119" t="n"/>
      <c r="H127" s="118" t="n"/>
      <c r="I127" s="118" t="n"/>
      <c r="J127" s="119" t="n"/>
      <c r="K127" s="119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121" t="n"/>
      <c r="C128" s="121" t="n"/>
      <c r="D128" s="64" t="n"/>
      <c r="E128" s="121" t="n"/>
      <c r="F128" s="121" t="n"/>
      <c r="G128" s="64" t="n"/>
      <c r="H128" s="121" t="n"/>
      <c r="I128" s="121" t="n"/>
      <c r="J128" s="64" t="n"/>
      <c r="K128" s="64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93" t="n"/>
      <c r="C129" s="95" t="n"/>
      <c r="D129" s="97" t="n"/>
      <c r="E129" s="93" t="n"/>
      <c r="F129" s="95" t="n"/>
      <c r="G129" s="97" t="n"/>
      <c r="H129" s="93" t="n"/>
      <c r="I129" s="95" t="n"/>
      <c r="J129" s="97" t="n"/>
      <c r="K129" s="109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128" t="n"/>
      <c r="C130" s="129" t="n"/>
      <c r="D130" s="130" t="n"/>
      <c r="E130" s="128" t="n"/>
      <c r="F130" s="129" t="n"/>
      <c r="G130" s="130" t="n"/>
      <c r="H130" s="128" t="n"/>
      <c r="I130" s="129" t="n"/>
      <c r="J130" s="130" t="n"/>
      <c r="K130" s="117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128" t="n"/>
      <c r="C131" s="129" t="n"/>
      <c r="D131" s="130" t="n"/>
      <c r="E131" s="128" t="n"/>
      <c r="F131" s="129" t="n"/>
      <c r="G131" s="130" t="n"/>
      <c r="H131" s="128" t="n"/>
      <c r="I131" s="129" t="n"/>
      <c r="J131" s="130" t="n"/>
      <c r="K131" s="117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128" t="n"/>
      <c r="C132" s="129" t="n"/>
      <c r="D132" s="130" t="n"/>
      <c r="E132" s="128" t="n"/>
      <c r="F132" s="129" t="n"/>
      <c r="G132" s="130" t="n"/>
      <c r="H132" s="128" t="n"/>
      <c r="I132" s="129" t="n"/>
      <c r="J132" s="130" t="n"/>
      <c r="K132" s="117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134" t="n"/>
      <c r="C133" s="135" t="n"/>
      <c r="D133" s="136" t="n"/>
      <c r="E133" s="134" t="n"/>
      <c r="F133" s="135" t="n"/>
      <c r="G133" s="136" t="n"/>
      <c r="H133" s="134" t="n"/>
      <c r="I133" s="135" t="n"/>
      <c r="J133" s="136" t="n"/>
      <c r="K133" s="124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118" t="n"/>
      <c r="C134" s="118" t="n"/>
      <c r="D134" s="119" t="n"/>
      <c r="E134" s="118" t="n"/>
      <c r="F134" s="118" t="n"/>
      <c r="G134" s="119" t="n"/>
      <c r="H134" s="118" t="n"/>
      <c r="I134" s="118" t="n"/>
      <c r="J134" s="119" t="n"/>
      <c r="K134" s="119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121" t="n"/>
      <c r="C135" s="121" t="n"/>
      <c r="D135" s="64" t="n"/>
      <c r="E135" s="121" t="n"/>
      <c r="F135" s="121" t="n"/>
      <c r="G135" s="64" t="n"/>
      <c r="H135" s="121" t="n"/>
      <c r="I135" s="121" t="n"/>
      <c r="J135" s="64" t="n"/>
      <c r="K135" s="64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93" t="n"/>
      <c r="C136" s="95" t="n"/>
      <c r="D136" s="97" t="n"/>
      <c r="E136" s="93" t="n"/>
      <c r="F136" s="95" t="n"/>
      <c r="G136" s="97" t="n"/>
      <c r="H136" s="93" t="n"/>
      <c r="I136" s="95" t="n"/>
      <c r="J136" s="97" t="n"/>
      <c r="K136" s="109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128" t="n"/>
      <c r="C137" s="129" t="n"/>
      <c r="D137" s="130" t="n"/>
      <c r="E137" s="128" t="n"/>
      <c r="F137" s="129" t="n"/>
      <c r="G137" s="130" t="n"/>
      <c r="H137" s="128" t="n"/>
      <c r="I137" s="129" t="n"/>
      <c r="J137" s="130" t="n"/>
      <c r="K137" s="117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128" t="n"/>
      <c r="C138" s="129" t="n"/>
      <c r="D138" s="130" t="n"/>
      <c r="E138" s="128" t="n"/>
      <c r="F138" s="129" t="n"/>
      <c r="G138" s="130" t="n"/>
      <c r="H138" s="128" t="n"/>
      <c r="I138" s="129" t="n"/>
      <c r="J138" s="130" t="n"/>
      <c r="K138" s="117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128" t="n"/>
      <c r="C139" s="129" t="n"/>
      <c r="D139" s="130" t="n"/>
      <c r="E139" s="128" t="n"/>
      <c r="F139" s="129" t="n"/>
      <c r="G139" s="130" t="n"/>
      <c r="H139" s="128" t="n"/>
      <c r="I139" s="129" t="n"/>
      <c r="J139" s="130" t="n"/>
      <c r="K139" s="117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134" t="n"/>
      <c r="C140" s="135" t="n"/>
      <c r="D140" s="136" t="n"/>
      <c r="E140" s="134" t="n"/>
      <c r="F140" s="135" t="n"/>
      <c r="G140" s="136" t="n"/>
      <c r="H140" s="134" t="n"/>
      <c r="I140" s="135" t="n"/>
      <c r="J140" s="136" t="n"/>
      <c r="K140" s="124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118" t="n"/>
      <c r="C141" s="118" t="n"/>
      <c r="D141" s="119" t="n"/>
      <c r="E141" s="118" t="n"/>
      <c r="F141" s="118" t="n"/>
      <c r="G141" s="119" t="n"/>
      <c r="H141" s="118" t="n"/>
      <c r="I141" s="118" t="n"/>
      <c r="J141" s="119" t="n"/>
      <c r="K141" s="119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121" t="n"/>
      <c r="C142" s="121" t="n"/>
      <c r="D142" s="64" t="n"/>
      <c r="E142" s="121" t="n"/>
      <c r="F142" s="121" t="n"/>
      <c r="G142" s="64" t="n"/>
      <c r="H142" s="121" t="n"/>
      <c r="I142" s="121" t="n"/>
      <c r="J142" s="64" t="n"/>
      <c r="K142" s="64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93" t="n"/>
      <c r="C143" s="95" t="n"/>
      <c r="D143" s="97" t="n"/>
      <c r="E143" s="93" t="n"/>
      <c r="F143" s="95" t="n"/>
      <c r="G143" s="97" t="n"/>
      <c r="H143" s="93" t="n"/>
      <c r="I143" s="95" t="n"/>
      <c r="J143" s="97" t="n"/>
      <c r="K143" s="109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128" t="n"/>
      <c r="C144" s="129" t="n"/>
      <c r="D144" s="130" t="n"/>
      <c r="E144" s="128" t="n"/>
      <c r="F144" s="129" t="n"/>
      <c r="G144" s="130" t="n"/>
      <c r="H144" s="128" t="n"/>
      <c r="I144" s="129" t="n"/>
      <c r="J144" s="130" t="n"/>
      <c r="K144" s="117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128" t="n"/>
      <c r="C145" s="129" t="n"/>
      <c r="D145" s="130" t="n"/>
      <c r="E145" s="128" t="n"/>
      <c r="F145" s="129" t="n"/>
      <c r="G145" s="130" t="n"/>
      <c r="H145" s="128" t="n"/>
      <c r="I145" s="129" t="n"/>
      <c r="J145" s="130" t="n"/>
      <c r="K145" s="117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128" t="n"/>
      <c r="C146" s="129" t="n"/>
      <c r="D146" s="130" t="n"/>
      <c r="E146" s="128" t="n"/>
      <c r="F146" s="129" t="n"/>
      <c r="G146" s="130" t="n"/>
      <c r="H146" s="128" t="n"/>
      <c r="I146" s="129" t="n"/>
      <c r="J146" s="130" t="n"/>
      <c r="K146" s="117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134" t="n"/>
      <c r="C147" s="135" t="n"/>
      <c r="D147" s="136" t="n"/>
      <c r="E147" s="134" t="n"/>
      <c r="F147" s="135" t="n"/>
      <c r="G147" s="136" t="n"/>
      <c r="H147" s="134" t="n"/>
      <c r="I147" s="135" t="n"/>
      <c r="J147" s="136" t="n"/>
      <c r="K147" s="124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118" t="n"/>
      <c r="C148" s="118" t="n"/>
      <c r="D148" s="119" t="n"/>
      <c r="E148" s="118" t="n"/>
      <c r="F148" s="118" t="n"/>
      <c r="G148" s="119" t="n"/>
      <c r="H148" s="118" t="n"/>
      <c r="I148" s="118" t="n"/>
      <c r="J148" s="119" t="n"/>
      <c r="K148" s="119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121" t="n"/>
      <c r="C149" s="121" t="n"/>
      <c r="D149" s="64" t="n"/>
      <c r="E149" s="121" t="n"/>
      <c r="F149" s="121" t="n"/>
      <c r="G149" s="64" t="n"/>
      <c r="H149" s="121" t="n"/>
      <c r="I149" s="121" t="n"/>
      <c r="J149" s="64" t="n"/>
      <c r="K149" s="64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93" t="n"/>
      <c r="C150" s="95" t="n"/>
      <c r="D150" s="97" t="n"/>
      <c r="E150" s="93" t="n"/>
      <c r="F150" s="95" t="n"/>
      <c r="G150" s="97" t="n"/>
      <c r="H150" s="93" t="n"/>
      <c r="I150" s="95" t="n"/>
      <c r="J150" s="97" t="n"/>
      <c r="K150" s="109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128" t="n"/>
      <c r="C151" s="129" t="n"/>
      <c r="D151" s="130" t="n"/>
      <c r="E151" s="128" t="n"/>
      <c r="F151" s="129" t="n"/>
      <c r="G151" s="130" t="n"/>
      <c r="H151" s="128" t="n"/>
      <c r="I151" s="129" t="n"/>
      <c r="J151" s="130" t="n"/>
      <c r="K151" s="117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128" t="n"/>
      <c r="C152" s="129" t="n"/>
      <c r="D152" s="130" t="n"/>
      <c r="E152" s="128" t="n"/>
      <c r="F152" s="129" t="n"/>
      <c r="G152" s="130" t="n"/>
      <c r="H152" s="128" t="n"/>
      <c r="I152" s="129" t="n"/>
      <c r="J152" s="130" t="n"/>
      <c r="K152" s="117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128" t="n"/>
      <c r="C153" s="129" t="n"/>
      <c r="D153" s="130" t="n"/>
      <c r="E153" s="128" t="n"/>
      <c r="F153" s="129" t="n"/>
      <c r="G153" s="130" t="n"/>
      <c r="H153" s="128" t="n"/>
      <c r="I153" s="129" t="n"/>
      <c r="J153" s="130" t="n"/>
      <c r="K153" s="117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134" t="n"/>
      <c r="C154" s="135" t="n"/>
      <c r="D154" s="136" t="n"/>
      <c r="E154" s="134" t="n"/>
      <c r="F154" s="135" t="n"/>
      <c r="G154" s="136" t="n"/>
      <c r="H154" s="134" t="n"/>
      <c r="I154" s="135" t="n"/>
      <c r="J154" s="136" t="n"/>
      <c r="K154" s="124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118" t="n"/>
      <c r="C155" s="118" t="n"/>
      <c r="D155" s="119" t="n"/>
      <c r="E155" s="118" t="n"/>
      <c r="F155" s="118" t="n"/>
      <c r="G155" s="119" t="n"/>
      <c r="H155" s="118" t="n"/>
      <c r="I155" s="118" t="n"/>
      <c r="J155" s="119" t="n"/>
      <c r="K155" s="119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121" t="n"/>
      <c r="C156" s="121" t="n"/>
      <c r="D156" s="64" t="n"/>
      <c r="E156" s="121" t="n"/>
      <c r="F156" s="121" t="n"/>
      <c r="G156" s="64" t="n"/>
      <c r="H156" s="121" t="n"/>
      <c r="I156" s="121" t="n"/>
      <c r="J156" s="64" t="n"/>
      <c r="K156" s="64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93" t="n"/>
      <c r="C157" s="95" t="n"/>
      <c r="D157" s="97" t="n"/>
      <c r="E157" s="93" t="n"/>
      <c r="F157" s="95" t="n"/>
      <c r="G157" s="97" t="n"/>
      <c r="H157" s="93" t="n"/>
      <c r="I157" s="95" t="n"/>
      <c r="J157" s="97" t="n"/>
      <c r="K157" s="109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128" t="n"/>
      <c r="C158" s="129" t="n"/>
      <c r="D158" s="130" t="n"/>
      <c r="E158" s="128" t="n"/>
      <c r="F158" s="129" t="n"/>
      <c r="G158" s="130" t="n"/>
      <c r="H158" s="128" t="n"/>
      <c r="I158" s="129" t="n"/>
      <c r="J158" s="130" t="n"/>
      <c r="K158" s="117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128" t="n"/>
      <c r="C159" s="129" t="n"/>
      <c r="D159" s="130" t="n"/>
      <c r="E159" s="128" t="n"/>
      <c r="F159" s="129" t="n"/>
      <c r="G159" s="130" t="n"/>
      <c r="H159" s="128" t="n"/>
      <c r="I159" s="129" t="n"/>
      <c r="J159" s="130" t="n"/>
      <c r="K159" s="117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128" t="n"/>
      <c r="C160" s="129" t="n"/>
      <c r="D160" s="130" t="n"/>
      <c r="E160" s="128" t="n"/>
      <c r="F160" s="129" t="n"/>
      <c r="G160" s="130" t="n"/>
      <c r="H160" s="128" t="n"/>
      <c r="I160" s="129" t="n"/>
      <c r="J160" s="130" t="n"/>
      <c r="K160" s="117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134" t="n"/>
      <c r="C161" s="135" t="n"/>
      <c r="D161" s="136" t="n"/>
      <c r="E161" s="134" t="n"/>
      <c r="F161" s="135" t="n"/>
      <c r="G161" s="136" t="n"/>
      <c r="H161" s="134" t="n"/>
      <c r="I161" s="135" t="n"/>
      <c r="J161" s="136" t="n"/>
      <c r="K161" s="124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118" t="n"/>
      <c r="C162" s="118" t="n"/>
      <c r="D162" s="119" t="n"/>
      <c r="E162" s="118" t="n"/>
      <c r="F162" s="118" t="n"/>
      <c r="G162" s="119" t="n"/>
      <c r="H162" s="118" t="n"/>
      <c r="I162" s="118" t="n"/>
      <c r="J162" s="119" t="n"/>
      <c r="K162" s="119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121" t="n"/>
      <c r="C163" s="121" t="n"/>
      <c r="D163" s="64" t="n"/>
      <c r="E163" s="121" t="n"/>
      <c r="F163" s="121" t="n"/>
      <c r="G163" s="64" t="n"/>
      <c r="H163" s="121" t="n"/>
      <c r="I163" s="121" t="n"/>
      <c r="J163" s="64" t="n"/>
      <c r="K163" s="64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93" t="n"/>
      <c r="C164" s="95" t="n"/>
      <c r="D164" s="97" t="n"/>
      <c r="E164" s="93" t="n"/>
      <c r="F164" s="95" t="n"/>
      <c r="G164" s="97" t="n"/>
      <c r="H164" s="93" t="n"/>
      <c r="I164" s="95" t="n"/>
      <c r="J164" s="97" t="n"/>
      <c r="K164" s="109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128" t="n"/>
      <c r="C165" s="129" t="n"/>
      <c r="D165" s="130" t="n"/>
      <c r="E165" s="128" t="n"/>
      <c r="F165" s="129" t="n"/>
      <c r="G165" s="130" t="n"/>
      <c r="H165" s="128" t="n"/>
      <c r="I165" s="129" t="n"/>
      <c r="J165" s="130" t="n"/>
      <c r="K165" s="117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128" t="n"/>
      <c r="C166" s="129" t="n"/>
      <c r="D166" s="130" t="n"/>
      <c r="E166" s="128" t="n"/>
      <c r="F166" s="129" t="n"/>
      <c r="G166" s="130" t="n"/>
      <c r="H166" s="128" t="n"/>
      <c r="I166" s="129" t="n"/>
      <c r="J166" s="130" t="n"/>
      <c r="K166" s="117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128" t="n"/>
      <c r="C167" s="129" t="n"/>
      <c r="D167" s="130" t="n"/>
      <c r="E167" s="128" t="n"/>
      <c r="F167" s="129" t="n"/>
      <c r="G167" s="130" t="n"/>
      <c r="H167" s="128" t="n"/>
      <c r="I167" s="129" t="n"/>
      <c r="J167" s="130" t="n"/>
      <c r="K167" s="117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134" t="n"/>
      <c r="C168" s="135" t="n"/>
      <c r="D168" s="136" t="n"/>
      <c r="E168" s="134" t="n"/>
      <c r="F168" s="135" t="n"/>
      <c r="G168" s="136" t="n"/>
      <c r="H168" s="134" t="n"/>
      <c r="I168" s="135" t="n"/>
      <c r="J168" s="136" t="n"/>
      <c r="K168" s="124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118" t="n"/>
      <c r="C169" s="118" t="n"/>
      <c r="D169" s="119" t="n"/>
      <c r="E169" s="118" t="n"/>
      <c r="F169" s="118" t="n"/>
      <c r="G169" s="119" t="n"/>
      <c r="H169" s="118" t="n"/>
      <c r="I169" s="118" t="n"/>
      <c r="J169" s="119" t="n"/>
      <c r="K169" s="119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121" t="n"/>
      <c r="C170" s="121" t="n"/>
      <c r="D170" s="64" t="n"/>
      <c r="E170" s="121" t="n"/>
      <c r="F170" s="121" t="n"/>
      <c r="G170" s="64" t="n"/>
      <c r="H170" s="121" t="n"/>
      <c r="I170" s="121" t="n"/>
      <c r="J170" s="64" t="n"/>
      <c r="K170" s="64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93" t="n"/>
      <c r="C171" s="95" t="n"/>
      <c r="D171" s="97" t="n"/>
      <c r="E171" s="93" t="n"/>
      <c r="F171" s="95" t="n"/>
      <c r="G171" s="97" t="n"/>
      <c r="H171" s="93" t="n"/>
      <c r="I171" s="95" t="n"/>
      <c r="J171" s="97" t="n"/>
      <c r="K171" s="109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128" t="n"/>
      <c r="C172" s="129" t="n"/>
      <c r="D172" s="130" t="n"/>
      <c r="E172" s="128" t="n"/>
      <c r="F172" s="129" t="n"/>
      <c r="G172" s="130" t="n"/>
      <c r="H172" s="128" t="n"/>
      <c r="I172" s="129" t="n"/>
      <c r="J172" s="130" t="n"/>
      <c r="K172" s="117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128" t="n"/>
      <c r="C173" s="129" t="n"/>
      <c r="D173" s="130" t="n"/>
      <c r="E173" s="128" t="n"/>
      <c r="F173" s="129" t="n"/>
      <c r="G173" s="130" t="n"/>
      <c r="H173" s="128" t="n"/>
      <c r="I173" s="129" t="n"/>
      <c r="J173" s="130" t="n"/>
      <c r="K173" s="117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128" t="n"/>
      <c r="C174" s="129" t="n"/>
      <c r="D174" s="130" t="n"/>
      <c r="E174" s="128" t="n"/>
      <c r="F174" s="129" t="n"/>
      <c r="G174" s="130" t="n"/>
      <c r="H174" s="128" t="n"/>
      <c r="I174" s="129" t="n"/>
      <c r="J174" s="130" t="n"/>
      <c r="K174" s="117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134" t="n"/>
      <c r="C175" s="135" t="n"/>
      <c r="D175" s="136" t="n"/>
      <c r="E175" s="134" t="n"/>
      <c r="F175" s="135" t="n"/>
      <c r="G175" s="136" t="n"/>
      <c r="H175" s="134" t="n"/>
      <c r="I175" s="135" t="n"/>
      <c r="J175" s="136" t="n"/>
      <c r="K175" s="124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118" t="n"/>
      <c r="C176" s="118" t="n"/>
      <c r="D176" s="119" t="n"/>
      <c r="E176" s="118" t="n"/>
      <c r="F176" s="118" t="n"/>
      <c r="G176" s="119" t="n"/>
      <c r="H176" s="118" t="n"/>
      <c r="I176" s="118" t="n"/>
      <c r="J176" s="119" t="n"/>
      <c r="K176" s="119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121" t="n"/>
      <c r="C177" s="121" t="n"/>
      <c r="D177" s="64" t="n"/>
      <c r="E177" s="121" t="n"/>
      <c r="F177" s="121" t="n"/>
      <c r="G177" s="64" t="n"/>
      <c r="H177" s="121" t="n"/>
      <c r="I177" s="121" t="n"/>
      <c r="J177" s="64" t="n"/>
      <c r="K177" s="64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93" t="n"/>
      <c r="C178" s="95" t="n"/>
      <c r="D178" s="97" t="n"/>
      <c r="E178" s="93" t="n"/>
      <c r="F178" s="95" t="n"/>
      <c r="G178" s="97" t="n"/>
      <c r="H178" s="93" t="n"/>
      <c r="I178" s="95" t="n"/>
      <c r="J178" s="97" t="n"/>
      <c r="K178" s="109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128" t="n"/>
      <c r="C179" s="129" t="n"/>
      <c r="D179" s="130" t="n"/>
      <c r="E179" s="128" t="n"/>
      <c r="F179" s="129" t="n"/>
      <c r="G179" s="130" t="n"/>
      <c r="H179" s="128" t="n"/>
      <c r="I179" s="129" t="n"/>
      <c r="J179" s="130" t="n"/>
      <c r="K179" s="117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128" t="n"/>
      <c r="C180" s="129" t="n"/>
      <c r="D180" s="130" t="n"/>
      <c r="E180" s="128" t="n"/>
      <c r="F180" s="129" t="n"/>
      <c r="G180" s="130" t="n"/>
      <c r="H180" s="128" t="n"/>
      <c r="I180" s="129" t="n"/>
      <c r="J180" s="130" t="n"/>
      <c r="K180" s="117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128" t="n"/>
      <c r="C181" s="129" t="n"/>
      <c r="D181" s="130" t="n"/>
      <c r="E181" s="128" t="n"/>
      <c r="F181" s="129" t="n"/>
      <c r="G181" s="130" t="n"/>
      <c r="H181" s="128" t="n"/>
      <c r="I181" s="129" t="n"/>
      <c r="J181" s="130" t="n"/>
      <c r="K181" s="117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134" t="n"/>
      <c r="C182" s="135" t="n"/>
      <c r="D182" s="136" t="n"/>
      <c r="E182" s="134" t="n"/>
      <c r="F182" s="135" t="n"/>
      <c r="G182" s="136" t="n"/>
      <c r="H182" s="134" t="n"/>
      <c r="I182" s="135" t="n"/>
      <c r="J182" s="136" t="n"/>
      <c r="K182" s="124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118" t="n"/>
      <c r="C183" s="118" t="n"/>
      <c r="D183" s="119" t="n"/>
      <c r="E183" s="118" t="n"/>
      <c r="F183" s="118" t="n"/>
      <c r="G183" s="119" t="n"/>
      <c r="H183" s="118" t="n"/>
      <c r="I183" s="118" t="n"/>
      <c r="J183" s="119" t="n"/>
      <c r="K183" s="119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121" t="n"/>
      <c r="C184" s="121" t="n"/>
      <c r="D184" s="64" t="n"/>
      <c r="E184" s="121" t="n"/>
      <c r="F184" s="121" t="n"/>
      <c r="G184" s="64" t="n"/>
      <c r="H184" s="121" t="n"/>
      <c r="I184" s="121" t="n"/>
      <c r="J184" s="64" t="n"/>
      <c r="K184" s="64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93" t="n"/>
      <c r="C185" s="95" t="n"/>
      <c r="D185" s="97" t="n"/>
      <c r="E185" s="93" t="n"/>
      <c r="F185" s="95" t="n"/>
      <c r="G185" s="97" t="n"/>
      <c r="H185" s="93" t="n"/>
      <c r="I185" s="95" t="n"/>
      <c r="J185" s="97" t="n"/>
      <c r="K185" s="109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128" t="n"/>
      <c r="C186" s="129" t="n"/>
      <c r="D186" s="130" t="n"/>
      <c r="E186" s="128" t="n"/>
      <c r="F186" s="129" t="n"/>
      <c r="G186" s="130" t="n"/>
      <c r="H186" s="128" t="n"/>
      <c r="I186" s="129" t="n"/>
      <c r="J186" s="130" t="n"/>
      <c r="K186" s="117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128" t="n"/>
      <c r="C187" s="129" t="n"/>
      <c r="D187" s="130" t="n"/>
      <c r="E187" s="128" t="n"/>
      <c r="F187" s="129" t="n"/>
      <c r="G187" s="130" t="n"/>
      <c r="H187" s="128" t="n"/>
      <c r="I187" s="129" t="n"/>
      <c r="J187" s="130" t="n"/>
      <c r="K187" s="117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128" t="n"/>
      <c r="C188" s="129" t="n"/>
      <c r="D188" s="130" t="n"/>
      <c r="E188" s="128" t="n"/>
      <c r="F188" s="129" t="n"/>
      <c r="G188" s="130" t="n"/>
      <c r="H188" s="128" t="n"/>
      <c r="I188" s="129" t="n"/>
      <c r="J188" s="130" t="n"/>
      <c r="K188" s="117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134" t="n"/>
      <c r="C189" s="135" t="n"/>
      <c r="D189" s="136" t="n"/>
      <c r="E189" s="134" t="n"/>
      <c r="F189" s="135" t="n"/>
      <c r="G189" s="136" t="n"/>
      <c r="H189" s="134" t="n"/>
      <c r="I189" s="135" t="n"/>
      <c r="J189" s="136" t="n"/>
      <c r="K189" s="124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118" t="n"/>
      <c r="C190" s="118" t="n"/>
      <c r="D190" s="119" t="n"/>
      <c r="E190" s="118" t="n"/>
      <c r="F190" s="118" t="n"/>
      <c r="G190" s="119" t="n"/>
      <c r="H190" s="118" t="n"/>
      <c r="I190" s="118" t="n"/>
      <c r="J190" s="119" t="n"/>
      <c r="K190" s="119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121" t="n"/>
      <c r="C191" s="121" t="n"/>
      <c r="D191" s="64" t="n"/>
      <c r="E191" s="121" t="n"/>
      <c r="F191" s="121" t="n"/>
      <c r="G191" s="64" t="n"/>
      <c r="H191" s="121" t="n"/>
      <c r="I191" s="121" t="n"/>
      <c r="J191" s="64" t="n"/>
      <c r="K191" s="64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93" t="n"/>
      <c r="C192" s="95" t="n"/>
      <c r="D192" s="97" t="n"/>
      <c r="E192" s="93" t="n"/>
      <c r="F192" s="95" t="n"/>
      <c r="G192" s="97" t="n"/>
      <c r="H192" s="93" t="n"/>
      <c r="I192" s="95" t="n"/>
      <c r="J192" s="97" t="n"/>
      <c r="K192" s="109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128" t="n"/>
      <c r="C193" s="129" t="n"/>
      <c r="D193" s="130" t="n"/>
      <c r="E193" s="128" t="n"/>
      <c r="F193" s="129" t="n"/>
      <c r="G193" s="130" t="n"/>
      <c r="H193" s="128" t="n"/>
      <c r="I193" s="129" t="n"/>
      <c r="J193" s="130" t="n"/>
      <c r="K193" s="117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128" t="n"/>
      <c r="C194" s="129" t="n"/>
      <c r="D194" s="130" t="n"/>
      <c r="E194" s="128" t="n"/>
      <c r="F194" s="129" t="n"/>
      <c r="G194" s="130" t="n"/>
      <c r="H194" s="128" t="n"/>
      <c r="I194" s="129" t="n"/>
      <c r="J194" s="130" t="n"/>
      <c r="K194" s="117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128" t="n"/>
      <c r="C195" s="129" t="n"/>
      <c r="D195" s="130" t="n"/>
      <c r="E195" s="128" t="n"/>
      <c r="F195" s="129" t="n"/>
      <c r="G195" s="130" t="n"/>
      <c r="H195" s="128" t="n"/>
      <c r="I195" s="129" t="n"/>
      <c r="J195" s="130" t="n"/>
      <c r="K195" s="117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134" t="n"/>
      <c r="C196" s="135" t="n"/>
      <c r="D196" s="136" t="n"/>
      <c r="E196" s="134" t="n"/>
      <c r="F196" s="135" t="n"/>
      <c r="G196" s="136" t="n"/>
      <c r="H196" s="134" t="n"/>
      <c r="I196" s="135" t="n"/>
      <c r="J196" s="136" t="n"/>
      <c r="K196" s="124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118" t="n"/>
      <c r="C197" s="118" t="n"/>
      <c r="D197" s="119" t="n"/>
      <c r="E197" s="118" t="n"/>
      <c r="F197" s="118" t="n"/>
      <c r="G197" s="119" t="n"/>
      <c r="H197" s="118" t="n"/>
      <c r="I197" s="118" t="n"/>
      <c r="J197" s="119" t="n"/>
      <c r="K197" s="119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121" t="n"/>
      <c r="C198" s="121" t="n"/>
      <c r="D198" s="64" t="n"/>
      <c r="E198" s="121" t="n"/>
      <c r="F198" s="121" t="n"/>
      <c r="G198" s="64" t="n"/>
      <c r="H198" s="121" t="n"/>
      <c r="I198" s="121" t="n"/>
      <c r="J198" s="64" t="n"/>
      <c r="K198" s="64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93" t="n"/>
      <c r="C199" s="95" t="n"/>
      <c r="D199" s="97" t="n"/>
      <c r="E199" s="93" t="n"/>
      <c r="F199" s="95" t="n"/>
      <c r="G199" s="97" t="n"/>
      <c r="H199" s="93" t="n"/>
      <c r="I199" s="95" t="n"/>
      <c r="J199" s="97" t="n"/>
      <c r="K199" s="109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128" t="n"/>
      <c r="C200" s="129" t="n"/>
      <c r="D200" s="130" t="n"/>
      <c r="E200" s="128" t="n"/>
      <c r="F200" s="129" t="n"/>
      <c r="G200" s="130" t="n"/>
      <c r="H200" s="128" t="n"/>
      <c r="I200" s="129" t="n"/>
      <c r="J200" s="130" t="n"/>
      <c r="K200" s="117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128" t="n"/>
      <c r="C201" s="129" t="n"/>
      <c r="D201" s="130" t="n"/>
      <c r="E201" s="128" t="n"/>
      <c r="F201" s="129" t="n"/>
      <c r="G201" s="130" t="n"/>
      <c r="H201" s="128" t="n"/>
      <c r="I201" s="129" t="n"/>
      <c r="J201" s="130" t="n"/>
      <c r="K201" s="117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128" t="n"/>
      <c r="C202" s="129" t="n"/>
      <c r="D202" s="130" t="n"/>
      <c r="E202" s="128" t="n"/>
      <c r="F202" s="129" t="n"/>
      <c r="G202" s="130" t="n"/>
      <c r="H202" s="128" t="n"/>
      <c r="I202" s="129" t="n"/>
      <c r="J202" s="130" t="n"/>
      <c r="K202" s="117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134" t="n"/>
      <c r="C203" s="135" t="n"/>
      <c r="D203" s="136" t="n"/>
      <c r="E203" s="134" t="n"/>
      <c r="F203" s="135" t="n"/>
      <c r="G203" s="136" t="n"/>
      <c r="H203" s="134" t="n"/>
      <c r="I203" s="135" t="n"/>
      <c r="J203" s="136" t="n"/>
      <c r="K203" s="124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118" t="n"/>
      <c r="C204" s="118" t="n"/>
      <c r="D204" s="119" t="n"/>
      <c r="E204" s="118" t="n"/>
      <c r="F204" s="118" t="n"/>
      <c r="G204" s="119" t="n"/>
      <c r="H204" s="118" t="n"/>
      <c r="I204" s="118" t="n"/>
      <c r="J204" s="119" t="n"/>
      <c r="K204" s="119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121" t="n"/>
      <c r="C205" s="121" t="n"/>
      <c r="D205" s="64" t="n"/>
      <c r="E205" s="121" t="n"/>
      <c r="F205" s="121" t="n"/>
      <c r="G205" s="64" t="n"/>
      <c r="H205" s="121" t="n"/>
      <c r="I205" s="121" t="n"/>
      <c r="J205" s="64" t="n"/>
      <c r="K205" s="64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93" t="n"/>
      <c r="C206" s="95" t="n"/>
      <c r="D206" s="97" t="n"/>
      <c r="E206" s="93" t="n"/>
      <c r="F206" s="95" t="n"/>
      <c r="G206" s="97" t="n"/>
      <c r="H206" s="93" t="n"/>
      <c r="I206" s="95" t="n"/>
      <c r="J206" s="97" t="n"/>
      <c r="K206" s="109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128" t="n"/>
      <c r="C207" s="129" t="n"/>
      <c r="D207" s="130" t="n"/>
      <c r="E207" s="128" t="n"/>
      <c r="F207" s="129" t="n"/>
      <c r="G207" s="130" t="n"/>
      <c r="H207" s="128" t="n"/>
      <c r="I207" s="129" t="n"/>
      <c r="J207" s="130" t="n"/>
      <c r="K207" s="117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128" t="n"/>
      <c r="C208" s="129" t="n"/>
      <c r="D208" s="130" t="n"/>
      <c r="E208" s="128" t="n"/>
      <c r="F208" s="129" t="n"/>
      <c r="G208" s="130" t="n"/>
      <c r="H208" s="128" t="n"/>
      <c r="I208" s="129" t="n"/>
      <c r="J208" s="130" t="n"/>
      <c r="K208" s="117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128" t="n"/>
      <c r="C209" s="129" t="n"/>
      <c r="D209" s="130" t="n"/>
      <c r="E209" s="128" t="n"/>
      <c r="F209" s="129" t="n"/>
      <c r="G209" s="130" t="n"/>
      <c r="H209" s="128" t="n"/>
      <c r="I209" s="129" t="n"/>
      <c r="J209" s="130" t="n"/>
      <c r="K209" s="117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134" t="n"/>
      <c r="C210" s="135" t="n"/>
      <c r="D210" s="136" t="n"/>
      <c r="E210" s="134" t="n"/>
      <c r="F210" s="135" t="n"/>
      <c r="G210" s="136" t="n"/>
      <c r="H210" s="134" t="n"/>
      <c r="I210" s="135" t="n"/>
      <c r="J210" s="136" t="n"/>
      <c r="K210" s="124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118" t="n"/>
      <c r="C211" s="118" t="n"/>
      <c r="D211" s="119" t="n"/>
      <c r="E211" s="118" t="n"/>
      <c r="F211" s="118" t="n"/>
      <c r="G211" s="119" t="n"/>
      <c r="H211" s="118" t="n"/>
      <c r="I211" s="118" t="n"/>
      <c r="J211" s="119" t="n"/>
      <c r="K211" s="119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121" t="n"/>
      <c r="C212" s="121" t="n"/>
      <c r="D212" s="64" t="n"/>
      <c r="E212" s="121" t="n"/>
      <c r="F212" s="121" t="n"/>
      <c r="G212" s="64" t="n"/>
      <c r="H212" s="121" t="n"/>
      <c r="I212" s="121" t="n"/>
      <c r="J212" s="64" t="n"/>
      <c r="K212" s="64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93" t="n"/>
      <c r="C213" s="95" t="n"/>
      <c r="D213" s="97" t="n"/>
      <c r="E213" s="93" t="n"/>
      <c r="F213" s="95" t="n"/>
      <c r="G213" s="97" t="n"/>
      <c r="H213" s="93" t="n"/>
      <c r="I213" s="95" t="n"/>
      <c r="J213" s="97" t="n"/>
      <c r="K213" s="109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128" t="n"/>
      <c r="C214" s="129" t="n"/>
      <c r="D214" s="130" t="n"/>
      <c r="E214" s="128" t="n"/>
      <c r="F214" s="129" t="n"/>
      <c r="G214" s="130" t="n"/>
      <c r="H214" s="128" t="n"/>
      <c r="I214" s="129" t="n"/>
      <c r="J214" s="130" t="n"/>
      <c r="K214" s="117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128" t="n"/>
      <c r="C215" s="129" t="n"/>
      <c r="D215" s="130" t="n"/>
      <c r="E215" s="128" t="n"/>
      <c r="F215" s="129" t="n"/>
      <c r="G215" s="130" t="n"/>
      <c r="H215" s="128" t="n"/>
      <c r="I215" s="129" t="n"/>
      <c r="J215" s="130" t="n"/>
      <c r="K215" s="117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128" t="n"/>
      <c r="C216" s="129" t="n"/>
      <c r="D216" s="130" t="n"/>
      <c r="E216" s="128" t="n"/>
      <c r="F216" s="129" t="n"/>
      <c r="G216" s="130" t="n"/>
      <c r="H216" s="128" t="n"/>
      <c r="I216" s="129" t="n"/>
      <c r="J216" s="130" t="n"/>
      <c r="K216" s="117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134" t="n"/>
      <c r="C217" s="135" t="n"/>
      <c r="D217" s="136" t="n"/>
      <c r="E217" s="134" t="n"/>
      <c r="F217" s="135" t="n"/>
      <c r="G217" s="136" t="n"/>
      <c r="H217" s="134" t="n"/>
      <c r="I217" s="135" t="n"/>
      <c r="J217" s="136" t="n"/>
      <c r="K217" s="124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118" t="n"/>
      <c r="C218" s="118" t="n"/>
      <c r="D218" s="119" t="n"/>
      <c r="E218" s="118" t="n"/>
      <c r="F218" s="118" t="n"/>
      <c r="G218" s="119" t="n"/>
      <c r="H218" s="118" t="n"/>
      <c r="I218" s="118" t="n"/>
      <c r="J218" s="119" t="n"/>
      <c r="K218" s="119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121" t="n"/>
      <c r="C219" s="121" t="n"/>
      <c r="D219" s="64" t="n"/>
      <c r="E219" s="121" t="n"/>
      <c r="F219" s="121" t="n"/>
      <c r="G219" s="64" t="n"/>
      <c r="H219" s="121" t="n"/>
      <c r="I219" s="121" t="n"/>
      <c r="J219" s="64" t="n"/>
      <c r="K219" s="64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93" t="n"/>
      <c r="C220" s="95" t="n"/>
      <c r="D220" s="97" t="n"/>
      <c r="E220" s="93" t="n"/>
      <c r="F220" s="95" t="n"/>
      <c r="G220" s="97" t="n"/>
      <c r="H220" s="93" t="n"/>
      <c r="I220" s="95" t="n"/>
      <c r="J220" s="97" t="n"/>
      <c r="K220" s="109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128" t="n"/>
      <c r="C221" s="129" t="n"/>
      <c r="D221" s="130" t="n"/>
      <c r="E221" s="128" t="n"/>
      <c r="F221" s="129" t="n"/>
      <c r="G221" s="130" t="n"/>
      <c r="H221" s="128" t="n"/>
      <c r="I221" s="129" t="n"/>
      <c r="J221" s="130" t="n"/>
      <c r="K221" s="117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128" t="n"/>
      <c r="C222" s="129" t="n"/>
      <c r="D222" s="130" t="n"/>
      <c r="E222" s="128" t="n"/>
      <c r="F222" s="129" t="n"/>
      <c r="G222" s="130" t="n"/>
      <c r="H222" s="128" t="n"/>
      <c r="I222" s="129" t="n"/>
      <c r="J222" s="130" t="n"/>
      <c r="K222" s="117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128" t="n"/>
      <c r="C223" s="129" t="n"/>
      <c r="D223" s="130" t="n"/>
      <c r="E223" s="128" t="n"/>
      <c r="F223" s="129" t="n"/>
      <c r="G223" s="130" t="n"/>
      <c r="H223" s="128" t="n"/>
      <c r="I223" s="129" t="n"/>
      <c r="J223" s="130" t="n"/>
      <c r="K223" s="117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134" t="n"/>
      <c r="C224" s="135" t="n"/>
      <c r="D224" s="136" t="n"/>
      <c r="E224" s="134" t="n"/>
      <c r="F224" s="135" t="n"/>
      <c r="G224" s="136" t="n"/>
      <c r="H224" s="134" t="n"/>
      <c r="I224" s="135" t="n"/>
      <c r="J224" s="136" t="n"/>
      <c r="K224" s="124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118" t="n"/>
      <c r="C225" s="118" t="n"/>
      <c r="D225" s="119" t="n"/>
      <c r="E225" s="118" t="n"/>
      <c r="F225" s="118" t="n"/>
      <c r="G225" s="119" t="n"/>
      <c r="H225" s="118" t="n"/>
      <c r="I225" s="118" t="n"/>
      <c r="J225" s="119" t="n"/>
      <c r="K225" s="119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121" t="n"/>
      <c r="C226" s="121" t="n"/>
      <c r="D226" s="64" t="n"/>
      <c r="E226" s="121" t="n"/>
      <c r="F226" s="121" t="n"/>
      <c r="G226" s="64" t="n"/>
      <c r="H226" s="121" t="n"/>
      <c r="I226" s="121" t="n"/>
      <c r="J226" s="64" t="n"/>
      <c r="K226" s="64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93" t="n"/>
      <c r="C227" s="95" t="n"/>
      <c r="D227" s="97" t="n"/>
      <c r="E227" s="93" t="n"/>
      <c r="F227" s="95" t="n"/>
      <c r="G227" s="97" t="n"/>
      <c r="H227" s="93" t="n"/>
      <c r="I227" s="95" t="n"/>
      <c r="J227" s="97" t="n"/>
      <c r="K227" s="109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128" t="n"/>
      <c r="C228" s="129" t="n"/>
      <c r="D228" s="130" t="n"/>
      <c r="E228" s="128" t="n"/>
      <c r="F228" s="129" t="n"/>
      <c r="G228" s="130" t="n"/>
      <c r="H228" s="128" t="n"/>
      <c r="I228" s="129" t="n"/>
      <c r="J228" s="130" t="n"/>
      <c r="K228" s="117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128" t="n"/>
      <c r="C229" s="129" t="n"/>
      <c r="D229" s="130" t="n"/>
      <c r="E229" s="128" t="n"/>
      <c r="F229" s="129" t="n"/>
      <c r="G229" s="130" t="n"/>
      <c r="H229" s="128" t="n"/>
      <c r="I229" s="129" t="n"/>
      <c r="J229" s="130" t="n"/>
      <c r="K229" s="117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128" t="n"/>
      <c r="C230" s="129" t="n"/>
      <c r="D230" s="130" t="n"/>
      <c r="E230" s="128" t="n"/>
      <c r="F230" s="129" t="n"/>
      <c r="G230" s="130" t="n"/>
      <c r="H230" s="128" t="n"/>
      <c r="I230" s="129" t="n"/>
      <c r="J230" s="130" t="n"/>
      <c r="K230" s="117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134" t="n"/>
      <c r="C231" s="135" t="n"/>
      <c r="D231" s="136" t="n"/>
      <c r="E231" s="134" t="n"/>
      <c r="F231" s="135" t="n"/>
      <c r="G231" s="136" t="n"/>
      <c r="H231" s="134" t="n"/>
      <c r="I231" s="135" t="n"/>
      <c r="J231" s="136" t="n"/>
      <c r="K231" s="124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118" t="n"/>
      <c r="C232" s="118" t="n"/>
      <c r="D232" s="119" t="n"/>
      <c r="E232" s="118" t="n"/>
      <c r="F232" s="118" t="n"/>
      <c r="G232" s="119" t="n"/>
      <c r="H232" s="118" t="n"/>
      <c r="I232" s="118" t="n"/>
      <c r="J232" s="119" t="n"/>
      <c r="K232" s="119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121" t="n"/>
      <c r="C233" s="121" t="n"/>
      <c r="D233" s="64" t="n"/>
      <c r="E233" s="121" t="n"/>
      <c r="F233" s="121" t="n"/>
      <c r="G233" s="64" t="n"/>
      <c r="H233" s="121" t="n"/>
      <c r="I233" s="121" t="n"/>
      <c r="J233" s="64" t="n"/>
      <c r="K233" s="64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93" t="n"/>
      <c r="C234" s="95" t="n"/>
      <c r="D234" s="97" t="n"/>
      <c r="E234" s="93" t="n"/>
      <c r="F234" s="95" t="n"/>
      <c r="G234" s="97" t="n"/>
      <c r="H234" s="93" t="n"/>
      <c r="I234" s="95" t="n"/>
      <c r="J234" s="97" t="n"/>
      <c r="K234" s="109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128" t="n"/>
      <c r="C235" s="129" t="n"/>
      <c r="D235" s="130" t="n"/>
      <c r="E235" s="128" t="n"/>
      <c r="F235" s="129" t="n"/>
      <c r="G235" s="130" t="n"/>
      <c r="H235" s="128" t="n"/>
      <c r="I235" s="129" t="n"/>
      <c r="J235" s="130" t="n"/>
      <c r="K235" s="117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128" t="n"/>
      <c r="C236" s="129" t="n"/>
      <c r="D236" s="130" t="n"/>
      <c r="E236" s="128" t="n"/>
      <c r="F236" s="129" t="n"/>
      <c r="G236" s="130" t="n"/>
      <c r="H236" s="128" t="n"/>
      <c r="I236" s="129" t="n"/>
      <c r="J236" s="130" t="n"/>
      <c r="K236" s="117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128" t="n"/>
      <c r="C237" s="129" t="n"/>
      <c r="D237" s="130" t="n"/>
      <c r="E237" s="128" t="n"/>
      <c r="F237" s="129" t="n"/>
      <c r="G237" s="130" t="n"/>
      <c r="H237" s="128" t="n"/>
      <c r="I237" s="129" t="n"/>
      <c r="J237" s="130" t="n"/>
      <c r="K237" s="117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134" t="n"/>
      <c r="C238" s="135" t="n"/>
      <c r="D238" s="136" t="n"/>
      <c r="E238" s="134" t="n"/>
      <c r="F238" s="135" t="n"/>
      <c r="G238" s="136" t="n"/>
      <c r="H238" s="134" t="n"/>
      <c r="I238" s="135" t="n"/>
      <c r="J238" s="136" t="n"/>
      <c r="K238" s="124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118" t="n"/>
      <c r="C239" s="118" t="n"/>
      <c r="D239" s="119" t="n"/>
      <c r="E239" s="118" t="n"/>
      <c r="F239" s="118" t="n"/>
      <c r="G239" s="119" t="n"/>
      <c r="H239" s="118" t="n"/>
      <c r="I239" s="118" t="n"/>
      <c r="J239" s="119" t="n"/>
      <c r="K239" s="119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121" t="n"/>
      <c r="C240" s="121" t="n"/>
      <c r="D240" s="64" t="n"/>
      <c r="E240" s="121" t="n"/>
      <c r="F240" s="121" t="n"/>
      <c r="G240" s="64" t="n"/>
      <c r="H240" s="121" t="n"/>
      <c r="I240" s="121" t="n"/>
      <c r="J240" s="64" t="n"/>
      <c r="K240" s="64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93" t="n"/>
      <c r="C241" s="95" t="n"/>
      <c r="D241" s="97" t="n"/>
      <c r="E241" s="93" t="n"/>
      <c r="F241" s="95" t="n"/>
      <c r="G241" s="97" t="n"/>
      <c r="H241" s="93" t="n"/>
      <c r="I241" s="95" t="n"/>
      <c r="J241" s="97" t="n"/>
      <c r="K241" s="109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128" t="n"/>
      <c r="C242" s="129" t="n"/>
      <c r="D242" s="130" t="n"/>
      <c r="E242" s="128" t="n"/>
      <c r="F242" s="129" t="n"/>
      <c r="G242" s="130" t="n"/>
      <c r="H242" s="128" t="n"/>
      <c r="I242" s="129" t="n"/>
      <c r="J242" s="130" t="n"/>
      <c r="K242" s="117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128" t="n"/>
      <c r="C243" s="129" t="n"/>
      <c r="D243" s="130" t="n"/>
      <c r="E243" s="128" t="n"/>
      <c r="F243" s="129" t="n"/>
      <c r="G243" s="130" t="n"/>
      <c r="H243" s="128" t="n"/>
      <c r="I243" s="129" t="n"/>
      <c r="J243" s="130" t="n"/>
      <c r="K243" s="117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128" t="n"/>
      <c r="C244" s="129" t="n"/>
      <c r="D244" s="130" t="n"/>
      <c r="E244" s="128" t="n"/>
      <c r="F244" s="129" t="n"/>
      <c r="G244" s="130" t="n"/>
      <c r="H244" s="128" t="n"/>
      <c r="I244" s="129" t="n"/>
      <c r="J244" s="130" t="n"/>
      <c r="K244" s="117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134" t="n"/>
      <c r="C245" s="135" t="n"/>
      <c r="D245" s="136" t="n"/>
      <c r="E245" s="134" t="n"/>
      <c r="F245" s="135" t="n"/>
      <c r="G245" s="136" t="n"/>
      <c r="H245" s="134" t="n"/>
      <c r="I245" s="135" t="n"/>
      <c r="J245" s="136" t="n"/>
      <c r="K245" s="124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118" t="n"/>
      <c r="C246" s="118" t="n"/>
      <c r="D246" s="119" t="n"/>
      <c r="E246" s="118" t="n"/>
      <c r="F246" s="118" t="n"/>
      <c r="G246" s="119" t="n"/>
      <c r="H246" s="118" t="n"/>
      <c r="I246" s="118" t="n"/>
      <c r="J246" s="119" t="n"/>
      <c r="K246" s="119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121" t="n"/>
      <c r="C247" s="121" t="n"/>
      <c r="D247" s="64" t="n"/>
      <c r="E247" s="121" t="n"/>
      <c r="F247" s="121" t="n"/>
      <c r="G247" s="64" t="n"/>
      <c r="H247" s="121" t="n"/>
      <c r="I247" s="121" t="n"/>
      <c r="J247" s="64" t="n"/>
      <c r="K247" s="64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93" t="n"/>
      <c r="C248" s="95" t="n"/>
      <c r="D248" s="97" t="n"/>
      <c r="E248" s="93" t="n"/>
      <c r="F248" s="95" t="n"/>
      <c r="G248" s="97" t="n"/>
      <c r="H248" s="93" t="n"/>
      <c r="I248" s="95" t="n"/>
      <c r="J248" s="97" t="n"/>
      <c r="K248" s="109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128" t="n"/>
      <c r="C249" s="129" t="n"/>
      <c r="D249" s="130" t="n"/>
      <c r="E249" s="128" t="n"/>
      <c r="F249" s="129" t="n"/>
      <c r="G249" s="130" t="n"/>
      <c r="H249" s="128" t="n"/>
      <c r="I249" s="129" t="n"/>
      <c r="J249" s="130" t="n"/>
      <c r="K249" s="117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128" t="n"/>
      <c r="C250" s="129" t="n"/>
      <c r="D250" s="130" t="n"/>
      <c r="E250" s="128" t="n"/>
      <c r="F250" s="129" t="n"/>
      <c r="G250" s="130" t="n"/>
      <c r="H250" s="128" t="n"/>
      <c r="I250" s="129" t="n"/>
      <c r="J250" s="130" t="n"/>
      <c r="K250" s="117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128" t="n"/>
      <c r="C251" s="129" t="n"/>
      <c r="D251" s="130" t="n"/>
      <c r="E251" s="128" t="n"/>
      <c r="F251" s="129" t="n"/>
      <c r="G251" s="130" t="n"/>
      <c r="H251" s="128" t="n"/>
      <c r="I251" s="129" t="n"/>
      <c r="J251" s="130" t="n"/>
      <c r="K251" s="117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134" t="n"/>
      <c r="C252" s="135" t="n"/>
      <c r="D252" s="136" t="n"/>
      <c r="E252" s="134" t="n"/>
      <c r="F252" s="135" t="n"/>
      <c r="G252" s="136" t="n"/>
      <c r="H252" s="134" t="n"/>
      <c r="I252" s="135" t="n"/>
      <c r="J252" s="136" t="n"/>
      <c r="K252" s="124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118" t="n"/>
      <c r="C253" s="118" t="n"/>
      <c r="D253" s="119" t="n"/>
      <c r="E253" s="118" t="n"/>
      <c r="F253" s="118" t="n"/>
      <c r="G253" s="119" t="n"/>
      <c r="H253" s="118" t="n"/>
      <c r="I253" s="118" t="n"/>
      <c r="J253" s="119" t="n"/>
      <c r="K253" s="119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121" t="n"/>
      <c r="C254" s="121" t="n"/>
      <c r="D254" s="64" t="n"/>
      <c r="E254" s="121" t="n"/>
      <c r="F254" s="121" t="n"/>
      <c r="G254" s="64" t="n"/>
      <c r="H254" s="121" t="n"/>
      <c r="I254" s="121" t="n"/>
      <c r="J254" s="64" t="n"/>
      <c r="K254" s="64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93" t="n"/>
      <c r="C255" s="95" t="n"/>
      <c r="D255" s="97" t="n"/>
      <c r="E255" s="93" t="n"/>
      <c r="F255" s="95" t="n"/>
      <c r="G255" s="97" t="n"/>
      <c r="H255" s="93" t="n"/>
      <c r="I255" s="95" t="n"/>
      <c r="J255" s="97" t="n"/>
      <c r="K255" s="109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128" t="n"/>
      <c r="C256" s="129" t="n"/>
      <c r="D256" s="130" t="n"/>
      <c r="E256" s="128" t="n"/>
      <c r="F256" s="129" t="n"/>
      <c r="G256" s="130" t="n"/>
      <c r="H256" s="128" t="n"/>
      <c r="I256" s="129" t="n"/>
      <c r="J256" s="130" t="n"/>
      <c r="K256" s="117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128" t="n"/>
      <c r="C257" s="129" t="n"/>
      <c r="D257" s="130" t="n"/>
      <c r="E257" s="128" t="n"/>
      <c r="F257" s="129" t="n"/>
      <c r="G257" s="130" t="n"/>
      <c r="H257" s="128" t="n"/>
      <c r="I257" s="129" t="n"/>
      <c r="J257" s="130" t="n"/>
      <c r="K257" s="117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128" t="n"/>
      <c r="C258" s="129" t="n"/>
      <c r="D258" s="130" t="n"/>
      <c r="E258" s="128" t="n"/>
      <c r="F258" s="129" t="n"/>
      <c r="G258" s="130" t="n"/>
      <c r="H258" s="128" t="n"/>
      <c r="I258" s="129" t="n"/>
      <c r="J258" s="130" t="n"/>
      <c r="K258" s="117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134" t="n"/>
      <c r="C259" s="135" t="n"/>
      <c r="D259" s="136" t="n"/>
      <c r="E259" s="134" t="n"/>
      <c r="F259" s="135" t="n"/>
      <c r="G259" s="136" t="n"/>
      <c r="H259" s="134" t="n"/>
      <c r="I259" s="135" t="n"/>
      <c r="J259" s="136" t="n"/>
      <c r="K259" s="124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118" t="n"/>
      <c r="C260" s="118" t="n"/>
      <c r="D260" s="119" t="n"/>
      <c r="E260" s="118" t="n"/>
      <c r="F260" s="118" t="n"/>
      <c r="G260" s="119" t="n"/>
      <c r="H260" s="118" t="n"/>
      <c r="I260" s="118" t="n"/>
      <c r="J260" s="119" t="n"/>
      <c r="K260" s="119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121" t="n"/>
      <c r="C261" s="121" t="n"/>
      <c r="D261" s="64" t="n"/>
      <c r="E261" s="121" t="n"/>
      <c r="F261" s="121" t="n"/>
      <c r="G261" s="64" t="n"/>
      <c r="H261" s="121" t="n"/>
      <c r="I261" s="121" t="n"/>
      <c r="J261" s="64" t="n"/>
      <c r="K261" s="64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93" t="n"/>
      <c r="C262" s="95" t="n"/>
      <c r="D262" s="97" t="n"/>
      <c r="E262" s="93" t="n"/>
      <c r="F262" s="95" t="n"/>
      <c r="G262" s="97" t="n"/>
      <c r="H262" s="93" t="n"/>
      <c r="I262" s="95" t="n"/>
      <c r="J262" s="97" t="n"/>
      <c r="K262" s="109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128" t="n"/>
      <c r="C263" s="129" t="n"/>
      <c r="D263" s="130" t="n"/>
      <c r="E263" s="128" t="n"/>
      <c r="F263" s="129" t="n"/>
      <c r="G263" s="130" t="n"/>
      <c r="H263" s="128" t="n"/>
      <c r="I263" s="129" t="n"/>
      <c r="J263" s="130" t="n"/>
      <c r="K263" s="117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128" t="n"/>
      <c r="C264" s="129" t="n"/>
      <c r="D264" s="130" t="n"/>
      <c r="E264" s="128" t="n"/>
      <c r="F264" s="129" t="n"/>
      <c r="G264" s="130" t="n"/>
      <c r="H264" s="128" t="n"/>
      <c r="I264" s="129" t="n"/>
      <c r="J264" s="130" t="n"/>
      <c r="K264" s="117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128" t="n"/>
      <c r="C265" s="129" t="n"/>
      <c r="D265" s="130" t="n"/>
      <c r="E265" s="128" t="n"/>
      <c r="F265" s="129" t="n"/>
      <c r="G265" s="130" t="n"/>
      <c r="H265" s="128" t="n"/>
      <c r="I265" s="129" t="n"/>
      <c r="J265" s="130" t="n"/>
      <c r="K265" s="117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134" t="n"/>
      <c r="C266" s="135" t="n"/>
      <c r="D266" s="136" t="n"/>
      <c r="E266" s="134" t="n"/>
      <c r="F266" s="135" t="n"/>
      <c r="G266" s="136" t="n"/>
      <c r="H266" s="134" t="n"/>
      <c r="I266" s="135" t="n"/>
      <c r="J266" s="136" t="n"/>
      <c r="K266" s="124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118" t="n"/>
      <c r="C267" s="118" t="n"/>
      <c r="D267" s="119" t="n"/>
      <c r="E267" s="118" t="n"/>
      <c r="F267" s="118" t="n"/>
      <c r="G267" s="119" t="n"/>
      <c r="H267" s="118" t="n"/>
      <c r="I267" s="118" t="n"/>
      <c r="J267" s="119" t="n"/>
      <c r="K267" s="119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121" t="n"/>
      <c r="C268" s="121" t="n"/>
      <c r="D268" s="64" t="n"/>
      <c r="E268" s="121" t="n"/>
      <c r="F268" s="121" t="n"/>
      <c r="G268" s="64" t="n"/>
      <c r="H268" s="121" t="n"/>
      <c r="I268" s="121" t="n"/>
      <c r="J268" s="64" t="n"/>
      <c r="K268" s="64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93" t="n"/>
      <c r="C269" s="95" t="n"/>
      <c r="D269" s="97" t="n"/>
      <c r="E269" s="93" t="n"/>
      <c r="F269" s="95" t="n"/>
      <c r="G269" s="97" t="n"/>
      <c r="H269" s="93" t="n"/>
      <c r="I269" s="95" t="n"/>
      <c r="J269" s="97" t="n"/>
      <c r="K269" s="109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128" t="n"/>
      <c r="C270" s="129" t="n"/>
      <c r="D270" s="130" t="n"/>
      <c r="E270" s="128" t="n"/>
      <c r="F270" s="129" t="n"/>
      <c r="G270" s="130" t="n"/>
      <c r="H270" s="128" t="n"/>
      <c r="I270" s="129" t="n"/>
      <c r="J270" s="130" t="n"/>
      <c r="K270" s="117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128" t="n"/>
      <c r="C271" s="129" t="n"/>
      <c r="D271" s="130" t="n"/>
      <c r="E271" s="128" t="n"/>
      <c r="F271" s="129" t="n"/>
      <c r="G271" s="130" t="n"/>
      <c r="H271" s="128" t="n"/>
      <c r="I271" s="129" t="n"/>
      <c r="J271" s="130" t="n"/>
      <c r="K271" s="117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128" t="n"/>
      <c r="C272" s="129" t="n"/>
      <c r="D272" s="130" t="n"/>
      <c r="E272" s="128" t="n"/>
      <c r="F272" s="129" t="n"/>
      <c r="G272" s="130" t="n"/>
      <c r="H272" s="128" t="n"/>
      <c r="I272" s="129" t="n"/>
      <c r="J272" s="130" t="n"/>
      <c r="K272" s="117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134" t="n"/>
      <c r="C273" s="135" t="n"/>
      <c r="D273" s="136" t="n"/>
      <c r="E273" s="134" t="n"/>
      <c r="F273" s="135" t="n"/>
      <c r="G273" s="136" t="n"/>
      <c r="H273" s="134" t="n"/>
      <c r="I273" s="135" t="n"/>
      <c r="J273" s="136" t="n"/>
      <c r="K273" s="124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118" t="n"/>
      <c r="C274" s="118" t="n"/>
      <c r="D274" s="119" t="n"/>
      <c r="E274" s="118" t="n"/>
      <c r="F274" s="118" t="n"/>
      <c r="G274" s="119" t="n"/>
      <c r="H274" s="118" t="n"/>
      <c r="I274" s="118" t="n"/>
      <c r="J274" s="119" t="n"/>
      <c r="K274" s="119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121" t="n"/>
      <c r="C275" s="121" t="n"/>
      <c r="D275" s="64" t="n"/>
      <c r="E275" s="121" t="n"/>
      <c r="F275" s="121" t="n"/>
      <c r="G275" s="64" t="n"/>
      <c r="H275" s="121" t="n"/>
      <c r="I275" s="121" t="n"/>
      <c r="J275" s="64" t="n"/>
      <c r="K275" s="64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93" t="n"/>
      <c r="C276" s="95" t="n"/>
      <c r="D276" s="97" t="n"/>
      <c r="E276" s="93" t="n"/>
      <c r="F276" s="95" t="n"/>
      <c r="G276" s="97" t="n"/>
      <c r="H276" s="93" t="n"/>
      <c r="I276" s="95" t="n"/>
      <c r="J276" s="97" t="n"/>
      <c r="K276" s="109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128" t="n"/>
      <c r="C277" s="129" t="n"/>
      <c r="D277" s="130" t="n"/>
      <c r="E277" s="128" t="n"/>
      <c r="F277" s="129" t="n"/>
      <c r="G277" s="130" t="n"/>
      <c r="H277" s="128" t="n"/>
      <c r="I277" s="129" t="n"/>
      <c r="J277" s="130" t="n"/>
      <c r="K277" s="117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128" t="n"/>
      <c r="C278" s="129" t="n"/>
      <c r="D278" s="130" t="n"/>
      <c r="E278" s="128" t="n"/>
      <c r="F278" s="129" t="n"/>
      <c r="G278" s="130" t="n"/>
      <c r="H278" s="128" t="n"/>
      <c r="I278" s="129" t="n"/>
      <c r="J278" s="130" t="n"/>
      <c r="K278" s="117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128" t="n"/>
      <c r="C279" s="129" t="n"/>
      <c r="D279" s="130" t="n"/>
      <c r="E279" s="128" t="n"/>
      <c r="F279" s="129" t="n"/>
      <c r="G279" s="130" t="n"/>
      <c r="H279" s="128" t="n"/>
      <c r="I279" s="129" t="n"/>
      <c r="J279" s="130" t="n"/>
      <c r="K279" s="117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134" t="n"/>
      <c r="C280" s="135" t="n"/>
      <c r="D280" s="136" t="n"/>
      <c r="E280" s="134" t="n"/>
      <c r="F280" s="135" t="n"/>
      <c r="G280" s="136" t="n"/>
      <c r="H280" s="134" t="n"/>
      <c r="I280" s="135" t="n"/>
      <c r="J280" s="136" t="n"/>
      <c r="K280" s="124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118" t="n"/>
      <c r="C281" s="118" t="n"/>
      <c r="D281" s="119" t="n"/>
      <c r="E281" s="118" t="n"/>
      <c r="F281" s="118" t="n"/>
      <c r="G281" s="119" t="n"/>
      <c r="H281" s="118" t="n"/>
      <c r="I281" s="118" t="n"/>
      <c r="J281" s="119" t="n"/>
      <c r="K281" s="119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121" t="n"/>
      <c r="C282" s="121" t="n"/>
      <c r="D282" s="64" t="n"/>
      <c r="E282" s="121" t="n"/>
      <c r="F282" s="121" t="n"/>
      <c r="G282" s="64" t="n"/>
      <c r="H282" s="121" t="n"/>
      <c r="I282" s="121" t="n"/>
      <c r="J282" s="64" t="n"/>
      <c r="K282" s="64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93" t="n"/>
      <c r="C283" s="95" t="n"/>
      <c r="D283" s="97" t="n"/>
      <c r="E283" s="93" t="n"/>
      <c r="F283" s="95" t="n"/>
      <c r="G283" s="97" t="n"/>
      <c r="H283" s="93" t="n"/>
      <c r="I283" s="95" t="n"/>
      <c r="J283" s="97" t="n"/>
      <c r="K283" s="109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128" t="n"/>
      <c r="C284" s="129" t="n"/>
      <c r="D284" s="130" t="n"/>
      <c r="E284" s="128" t="n"/>
      <c r="F284" s="129" t="n"/>
      <c r="G284" s="130" t="n"/>
      <c r="H284" s="128" t="n"/>
      <c r="I284" s="129" t="n"/>
      <c r="J284" s="130" t="n"/>
      <c r="K284" s="117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128" t="n"/>
      <c r="C285" s="129" t="n"/>
      <c r="D285" s="130" t="n"/>
      <c r="E285" s="128" t="n"/>
      <c r="F285" s="129" t="n"/>
      <c r="G285" s="130" t="n"/>
      <c r="H285" s="128" t="n"/>
      <c r="I285" s="129" t="n"/>
      <c r="J285" s="130" t="n"/>
      <c r="K285" s="117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128" t="n"/>
      <c r="C286" s="129" t="n"/>
      <c r="D286" s="130" t="n"/>
      <c r="E286" s="128" t="n"/>
      <c r="F286" s="129" t="n"/>
      <c r="G286" s="130" t="n"/>
      <c r="H286" s="128" t="n"/>
      <c r="I286" s="129" t="n"/>
      <c r="J286" s="130" t="n"/>
      <c r="K286" s="117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134" t="n"/>
      <c r="C287" s="135" t="n"/>
      <c r="D287" s="136" t="n"/>
      <c r="E287" s="134" t="n"/>
      <c r="F287" s="135" t="n"/>
      <c r="G287" s="136" t="n"/>
      <c r="H287" s="134" t="n"/>
      <c r="I287" s="135" t="n"/>
      <c r="J287" s="136" t="n"/>
      <c r="K287" s="124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118" t="n"/>
      <c r="C288" s="118" t="n"/>
      <c r="D288" s="119" t="n"/>
      <c r="E288" s="118" t="n"/>
      <c r="F288" s="118" t="n"/>
      <c r="G288" s="119" t="n"/>
      <c r="H288" s="118" t="n"/>
      <c r="I288" s="118" t="n"/>
      <c r="J288" s="119" t="n"/>
      <c r="K288" s="119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121" t="n"/>
      <c r="C289" s="121" t="n"/>
      <c r="D289" s="64" t="n"/>
      <c r="E289" s="121" t="n"/>
      <c r="F289" s="121" t="n"/>
      <c r="G289" s="64" t="n"/>
      <c r="H289" s="121" t="n"/>
      <c r="I289" s="121" t="n"/>
      <c r="J289" s="64" t="n"/>
      <c r="K289" s="64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93" t="n"/>
      <c r="C290" s="95" t="n"/>
      <c r="D290" s="97" t="n"/>
      <c r="E290" s="93" t="n"/>
      <c r="F290" s="95" t="n"/>
      <c r="G290" s="97" t="n"/>
      <c r="H290" s="93" t="n"/>
      <c r="I290" s="95" t="n"/>
      <c r="J290" s="97" t="n"/>
      <c r="K290" s="109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128" t="n"/>
      <c r="C291" s="129" t="n"/>
      <c r="D291" s="130" t="n"/>
      <c r="E291" s="128" t="n"/>
      <c r="F291" s="129" t="n"/>
      <c r="G291" s="130" t="n"/>
      <c r="H291" s="128" t="n"/>
      <c r="I291" s="129" t="n"/>
      <c r="J291" s="130" t="n"/>
      <c r="K291" s="117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128" t="n"/>
      <c r="C292" s="129" t="n"/>
      <c r="D292" s="130" t="n"/>
      <c r="E292" s="128" t="n"/>
      <c r="F292" s="129" t="n"/>
      <c r="G292" s="130" t="n"/>
      <c r="H292" s="128" t="n"/>
      <c r="I292" s="129" t="n"/>
      <c r="J292" s="130" t="n"/>
      <c r="K292" s="117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128" t="n"/>
      <c r="C293" s="129" t="n"/>
      <c r="D293" s="130" t="n"/>
      <c r="E293" s="128" t="n"/>
      <c r="F293" s="129" t="n"/>
      <c r="G293" s="130" t="n"/>
      <c r="H293" s="128" t="n"/>
      <c r="I293" s="129" t="n"/>
      <c r="J293" s="130" t="n"/>
      <c r="K293" s="117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134" t="n"/>
      <c r="C294" s="135" t="n"/>
      <c r="D294" s="136" t="n"/>
      <c r="E294" s="134" t="n"/>
      <c r="F294" s="135" t="n"/>
      <c r="G294" s="136" t="n"/>
      <c r="H294" s="134" t="n"/>
      <c r="I294" s="135" t="n"/>
      <c r="J294" s="136" t="n"/>
      <c r="K294" s="124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118" t="n"/>
      <c r="C295" s="118" t="n"/>
      <c r="D295" s="119" t="n"/>
      <c r="E295" s="118" t="n"/>
      <c r="F295" s="118" t="n"/>
      <c r="G295" s="119" t="n"/>
      <c r="H295" s="118" t="n"/>
      <c r="I295" s="118" t="n"/>
      <c r="J295" s="119" t="n"/>
      <c r="K295" s="119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121" t="n"/>
      <c r="C296" s="121" t="n"/>
      <c r="D296" s="64" t="n"/>
      <c r="E296" s="121" t="n"/>
      <c r="F296" s="121" t="n"/>
      <c r="G296" s="64" t="n"/>
      <c r="H296" s="121" t="n"/>
      <c r="I296" s="121" t="n"/>
      <c r="J296" s="64" t="n"/>
      <c r="K296" s="64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93" t="n"/>
      <c r="C297" s="95" t="n"/>
      <c r="D297" s="97" t="n"/>
      <c r="E297" s="93" t="n"/>
      <c r="F297" s="95" t="n"/>
      <c r="G297" s="97" t="n"/>
      <c r="H297" s="93" t="n"/>
      <c r="I297" s="95" t="n"/>
      <c r="J297" s="97" t="n"/>
      <c r="K297" s="109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128" t="n"/>
      <c r="C298" s="129" t="n"/>
      <c r="D298" s="130" t="n"/>
      <c r="E298" s="128" t="n"/>
      <c r="F298" s="129" t="n"/>
      <c r="G298" s="130" t="n"/>
      <c r="H298" s="128" t="n"/>
      <c r="I298" s="129" t="n"/>
      <c r="J298" s="130" t="n"/>
      <c r="K298" s="117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128" t="n"/>
      <c r="C299" s="129" t="n"/>
      <c r="D299" s="130" t="n"/>
      <c r="E299" s="128" t="n"/>
      <c r="F299" s="129" t="n"/>
      <c r="G299" s="130" t="n"/>
      <c r="H299" s="128" t="n"/>
      <c r="I299" s="129" t="n"/>
      <c r="J299" s="130" t="n"/>
      <c r="K299" s="117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128" t="n"/>
      <c r="C300" s="129" t="n"/>
      <c r="D300" s="130" t="n"/>
      <c r="E300" s="128" t="n"/>
      <c r="F300" s="129" t="n"/>
      <c r="G300" s="130" t="n"/>
      <c r="H300" s="128" t="n"/>
      <c r="I300" s="129" t="n"/>
      <c r="J300" s="130" t="n"/>
      <c r="K300" s="117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134" t="n"/>
      <c r="C301" s="135" t="n"/>
      <c r="D301" s="136" t="n"/>
      <c r="E301" s="134" t="n"/>
      <c r="F301" s="135" t="n"/>
      <c r="G301" s="136" t="n"/>
      <c r="H301" s="134" t="n"/>
      <c r="I301" s="135" t="n"/>
      <c r="J301" s="136" t="n"/>
      <c r="K301" s="124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118" t="n"/>
      <c r="C302" s="118" t="n"/>
      <c r="D302" s="119" t="n"/>
      <c r="E302" s="118" t="n"/>
      <c r="F302" s="118" t="n"/>
      <c r="G302" s="119" t="n"/>
      <c r="H302" s="118" t="n"/>
      <c r="I302" s="118" t="n"/>
      <c r="J302" s="119" t="n"/>
      <c r="K302" s="119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121" t="n"/>
      <c r="C303" s="121" t="n"/>
      <c r="D303" s="64" t="n"/>
      <c r="E303" s="121" t="n"/>
      <c r="F303" s="121" t="n"/>
      <c r="G303" s="64" t="n"/>
      <c r="H303" s="121" t="n"/>
      <c r="I303" s="121" t="n"/>
      <c r="J303" s="64" t="n"/>
      <c r="K303" s="64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FÁTIMA PACHECO ZACARÍAS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08:54:00</t>
        </is>
      </c>
      <c r="C3" s="176" t="inlineStr">
        <is>
          <t>09:44:00</t>
        </is>
      </c>
      <c r="D3" s="144" t="inlineStr">
        <is>
          <t>00:50:00</t>
        </is>
      </c>
      <c r="E3" s="175" t="inlineStr">
        <is>
          <t>15:53:00</t>
        </is>
      </c>
      <c r="F3" s="176" t="inlineStr">
        <is>
          <t>17:16:00</t>
        </is>
      </c>
      <c r="G3" s="145" t="inlineStr">
        <is>
          <t>01:23:00</t>
        </is>
      </c>
      <c r="H3" s="175" t="n"/>
      <c r="I3" s="176" t="n"/>
      <c r="J3" s="145" t="n"/>
      <c r="K3" s="146" t="inlineStr">
        <is>
          <t>02:13:00</t>
        </is>
      </c>
      <c r="L3" s="39" t="n"/>
      <c r="M3" s="34" t="n"/>
      <c r="N3" s="34" t="n"/>
      <c r="O3" s="34" t="n"/>
      <c r="P3" s="40" t="n">
        <v>16.38364583333333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11:20:00</t>
        </is>
      </c>
      <c r="C4" s="159" t="inlineStr">
        <is>
          <t>15:18:00</t>
        </is>
      </c>
      <c r="D4" s="149" t="inlineStr">
        <is>
          <t>03:58:00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03:58:00</t>
        </is>
      </c>
      <c r="L4" s="46" t="n"/>
      <c r="M4" s="164" t="n"/>
      <c r="N4" s="164" t="n"/>
      <c r="O4" s="164" t="n"/>
      <c r="P4" s="4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08:54:00</t>
        </is>
      </c>
      <c r="C5" s="159" t="inlineStr">
        <is>
          <t>09:40:00</t>
        </is>
      </c>
      <c r="D5" s="149" t="inlineStr">
        <is>
          <t>00:46:00</t>
        </is>
      </c>
      <c r="E5" s="147" t="inlineStr">
        <is>
          <t>12:51:00</t>
        </is>
      </c>
      <c r="F5" s="159" t="inlineStr">
        <is>
          <t>14:19:00</t>
        </is>
      </c>
      <c r="G5" s="150" t="inlineStr">
        <is>
          <t>01:28:00</t>
        </is>
      </c>
      <c r="H5" s="147" t="inlineStr">
        <is>
          <t>16:13:00</t>
        </is>
      </c>
      <c r="I5" s="159" t="inlineStr">
        <is>
          <t>17:17:00</t>
        </is>
      </c>
      <c r="J5" s="150" t="inlineStr">
        <is>
          <t>01:04:00</t>
        </is>
      </c>
      <c r="K5" s="151" t="inlineStr">
        <is>
          <t>03:18:00</t>
        </is>
      </c>
      <c r="L5" s="46" t="n"/>
      <c r="M5" s="164" t="n"/>
      <c r="N5" s="164" t="n"/>
      <c r="O5" s="164" t="n"/>
      <c r="P5" s="4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08:57:00</t>
        </is>
      </c>
      <c r="C6" s="152" t="inlineStr">
        <is>
          <t>09:43:00</t>
        </is>
      </c>
      <c r="D6" s="153" t="inlineStr">
        <is>
          <t>00:46:00</t>
        </is>
      </c>
      <c r="E6" s="147" t="inlineStr">
        <is>
          <t>11:22:00</t>
        </is>
      </c>
      <c r="F6" s="152" t="inlineStr">
        <is>
          <t>14:26:00</t>
        </is>
      </c>
      <c r="G6" s="150" t="inlineStr">
        <is>
          <t>03:04:00</t>
        </is>
      </c>
      <c r="H6" s="147" t="n"/>
      <c r="I6" s="152" t="n"/>
      <c r="J6" s="150" t="n"/>
      <c r="K6" s="151" t="inlineStr">
        <is>
          <t>03:50:00</t>
        </is>
      </c>
      <c r="L6" s="46" t="n"/>
      <c r="M6" s="164" t="n"/>
      <c r="N6" s="164" t="n"/>
      <c r="O6" s="164" t="n"/>
      <c r="P6" s="4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08:51:00</t>
        </is>
      </c>
      <c r="C7" s="155" t="inlineStr">
        <is>
          <t>09:46:00</t>
        </is>
      </c>
      <c r="D7" s="108" t="inlineStr">
        <is>
          <t>00:55:00</t>
        </is>
      </c>
      <c r="E7" s="154" t="inlineStr">
        <is>
          <t>12:59:00</t>
        </is>
      </c>
      <c r="F7" s="155" t="inlineStr">
        <is>
          <t>14:12:00</t>
        </is>
      </c>
      <c r="G7" s="108" t="inlineStr">
        <is>
          <t>01:13:00</t>
        </is>
      </c>
      <c r="H7" s="154" t="inlineStr">
        <is>
          <t>16:12:00</t>
        </is>
      </c>
      <c r="I7" s="155" t="inlineStr">
        <is>
          <t>17:14:00</t>
        </is>
      </c>
      <c r="J7" s="108" t="inlineStr">
        <is>
          <t>01:02:00</t>
        </is>
      </c>
      <c r="K7" s="156" t="inlineStr">
        <is>
          <t>03:10:00</t>
        </is>
      </c>
      <c r="L7" s="54" t="n"/>
      <c r="M7" s="164" t="n"/>
      <c r="N7" s="164" t="n"/>
      <c r="O7" s="164" t="n"/>
      <c r="P7" s="4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54" t="n"/>
      <c r="M8" s="164" t="n"/>
      <c r="N8" s="164" t="n"/>
      <c r="O8" s="164" t="n"/>
      <c r="P8" s="4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65" t="n"/>
      <c r="M9" s="66" t="n"/>
      <c r="N9" s="66" t="n"/>
      <c r="O9" s="66" t="n"/>
      <c r="P9" s="70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09:06:35</t>
        </is>
      </c>
      <c r="C10" s="176" t="inlineStr">
        <is>
          <t>09:59:35</t>
        </is>
      </c>
      <c r="D10" s="144" t="inlineStr">
        <is>
          <t>00:53:00</t>
        </is>
      </c>
      <c r="E10" s="175" t="inlineStr">
        <is>
          <t>16:13:55</t>
        </is>
      </c>
      <c r="F10" s="176" t="inlineStr">
        <is>
          <t>17:22:53</t>
        </is>
      </c>
      <c r="G10" s="91">
        <f>F10-E10</f>
        <v/>
      </c>
      <c r="H10" s="175" t="n"/>
      <c r="I10" s="176" t="n"/>
      <c r="J10" s="145" t="n"/>
      <c r="K10" s="92">
        <f>D10+G10+J10</f>
        <v/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n"/>
      <c r="C11" s="157" t="n"/>
      <c r="D11" s="149" t="n"/>
      <c r="E11" s="147" t="n"/>
      <c r="F11" s="159" t="n"/>
      <c r="G11" s="103">
        <f>F11-E11</f>
        <v/>
      </c>
      <c r="H11" s="147" t="n"/>
      <c r="I11" s="159" t="n"/>
      <c r="J11" s="150" t="n"/>
      <c r="K11" s="104">
        <f>D11+G11+J11</f>
        <v/>
      </c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09:06:57</t>
        </is>
      </c>
      <c r="C12" s="159" t="inlineStr">
        <is>
          <t>09:56:32</t>
        </is>
      </c>
      <c r="D12" s="149" t="inlineStr">
        <is>
          <t>00:49:35</t>
        </is>
      </c>
      <c r="E12" s="147" t="inlineStr">
        <is>
          <t>13:20:25</t>
        </is>
      </c>
      <c r="F12" s="159" t="inlineStr">
        <is>
          <t>14:33:26</t>
        </is>
      </c>
      <c r="G12" s="103">
        <f>F12-E12</f>
        <v/>
      </c>
      <c r="H12" s="147" t="inlineStr">
        <is>
          <t>16:12:44</t>
        </is>
      </c>
      <c r="I12" s="159" t="inlineStr">
        <is>
          <t>18:58:17</t>
        </is>
      </c>
      <c r="J12" s="150" t="inlineStr">
        <is>
          <t>02:45:33</t>
        </is>
      </c>
      <c r="K12" s="104">
        <f>D12+G12+J12</f>
        <v/>
      </c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inlineStr">
        <is>
          <t>09:09:02</t>
        </is>
      </c>
      <c r="C13" s="152" t="inlineStr">
        <is>
          <t>10:03:12</t>
        </is>
      </c>
      <c r="D13" s="153" t="inlineStr">
        <is>
          <t>00:54:10</t>
        </is>
      </c>
      <c r="E13" s="147" t="inlineStr">
        <is>
          <t>11:28:46</t>
        </is>
      </c>
      <c r="F13" s="152" t="inlineStr">
        <is>
          <t>15:47:40</t>
        </is>
      </c>
      <c r="G13" s="103">
        <f>F13-E13</f>
        <v/>
      </c>
      <c r="H13" s="147" t="n"/>
      <c r="I13" s="152" t="n"/>
      <c r="J13" s="150" t="n"/>
      <c r="K13" s="104">
        <f>D13+G13+J13</f>
        <v/>
      </c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09:06:55</t>
        </is>
      </c>
      <c r="C14" s="155" t="inlineStr">
        <is>
          <t>10:02:30</t>
        </is>
      </c>
      <c r="D14" s="108" t="inlineStr">
        <is>
          <t>00:55:35</t>
        </is>
      </c>
      <c r="E14" s="154" t="inlineStr">
        <is>
          <t>12:59:39</t>
        </is>
      </c>
      <c r="F14" s="158" t="n">
        <v>0.6722222222222223</v>
      </c>
      <c r="G14" s="114">
        <f>F14-E14</f>
        <v/>
      </c>
      <c r="H14" s="154" t="inlineStr">
        <is>
          <t>16:08:56</t>
        </is>
      </c>
      <c r="I14" s="155" t="inlineStr">
        <is>
          <t>17:31:47</t>
        </is>
      </c>
      <c r="J14" s="108" t="inlineStr">
        <is>
          <t>01:22:51</t>
        </is>
      </c>
      <c r="K14" s="115">
        <f>D14+G14+J14</f>
        <v/>
      </c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09:01:47</t>
        </is>
      </c>
      <c r="C17" s="28" t="n"/>
      <c r="D17" s="29" t="inlineStr">
        <is>
          <t>00:00:00</t>
        </is>
      </c>
      <c r="E17" s="26" t="inlineStr">
        <is>
          <t>09:04:10</t>
        </is>
      </c>
      <c r="F17" s="28" t="inlineStr">
        <is>
          <t>09:56:38</t>
        </is>
      </c>
      <c r="G17" s="31" t="inlineStr">
        <is>
          <t>00:52:28</t>
        </is>
      </c>
      <c r="H17" s="26" t="inlineStr">
        <is>
          <t>12:29:40</t>
        </is>
      </c>
      <c r="I17" s="28" t="inlineStr">
        <is>
          <t>13:00:30</t>
        </is>
      </c>
      <c r="J17" s="31" t="inlineStr">
        <is>
          <t>00:30:50</t>
        </is>
      </c>
      <c r="K17" s="38" t="inlineStr">
        <is>
          <t>01:23:18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09:12:44</t>
        </is>
      </c>
      <c r="C18" s="42" t="inlineStr">
        <is>
          <t>09:59:58</t>
        </is>
      </c>
      <c r="D18" s="43" t="inlineStr">
        <is>
          <t>00:47:14</t>
        </is>
      </c>
      <c r="E18" s="41" t="inlineStr">
        <is>
          <t>11:27:03</t>
        </is>
      </c>
      <c r="F18" s="42" t="inlineStr">
        <is>
          <t>17:32:33</t>
        </is>
      </c>
      <c r="G18" s="44" t="inlineStr">
        <is>
          <t>06:05:30</t>
        </is>
      </c>
      <c r="H18" s="41" t="n"/>
      <c r="I18" s="42" t="n"/>
      <c r="J18" s="44" t="n"/>
      <c r="K18" s="45" t="inlineStr">
        <is>
          <t>06:52:44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09:01:53</t>
        </is>
      </c>
      <c r="C19" s="42" t="inlineStr">
        <is>
          <t>09:58:26</t>
        </is>
      </c>
      <c r="D19" s="43" t="inlineStr">
        <is>
          <t>00:56:33</t>
        </is>
      </c>
      <c r="E19" s="41" t="inlineStr">
        <is>
          <t>11:31:28</t>
        </is>
      </c>
      <c r="F19" s="42" t="inlineStr">
        <is>
          <t>17:29:07</t>
        </is>
      </c>
      <c r="G19" s="44" t="inlineStr">
        <is>
          <t>05:57:39</t>
        </is>
      </c>
      <c r="H19" s="41" t="n"/>
      <c r="I19" s="42" t="n"/>
      <c r="J19" s="44" t="n"/>
      <c r="K19" s="45" t="inlineStr">
        <is>
          <t>06:54:12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09:09:33</t>
        </is>
      </c>
      <c r="C20" s="49" t="inlineStr">
        <is>
          <t>10:02:35</t>
        </is>
      </c>
      <c r="D20" s="50" t="inlineStr">
        <is>
          <t>00:53:02</t>
        </is>
      </c>
      <c r="E20" s="41" t="inlineStr">
        <is>
          <t>11:21:13</t>
        </is>
      </c>
      <c r="F20" s="49" t="n"/>
      <c r="G20" s="44" t="inlineStr">
        <is>
          <t>00:00:00</t>
        </is>
      </c>
      <c r="H20" s="41" t="n"/>
      <c r="I20" s="49" t="n"/>
      <c r="J20" s="44" t="n"/>
      <c r="K20" s="45" t="inlineStr">
        <is>
          <t>00:53:02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FERNANDO JAVIER RAMIREZ GARCIA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09:59:00</t>
        </is>
      </c>
      <c r="C3" s="176" t="inlineStr">
        <is>
          <t>14:06:00</t>
        </is>
      </c>
      <c r="D3" s="144" t="inlineStr">
        <is>
          <t>04:07:00</t>
        </is>
      </c>
      <c r="E3" s="175" t="n"/>
      <c r="F3" s="176" t="n"/>
      <c r="G3" s="145" t="n"/>
      <c r="H3" s="175" t="n"/>
      <c r="I3" s="176" t="n"/>
      <c r="J3" s="145" t="n"/>
      <c r="K3" s="146" t="inlineStr">
        <is>
          <t>04:07:00</t>
        </is>
      </c>
      <c r="L3" s="110" t="n"/>
      <c r="M3" s="96" t="n"/>
      <c r="N3" s="96" t="n"/>
      <c r="O3" s="96" t="n"/>
      <c r="P3" s="111" t="n">
        <v>11.76229166666667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09:38:00</t>
        </is>
      </c>
      <c r="C4" s="159" t="inlineStr">
        <is>
          <t>12:45:00</t>
        </is>
      </c>
      <c r="D4" s="149" t="inlineStr">
        <is>
          <t>03:07:00</t>
        </is>
      </c>
      <c r="E4" s="147" t="inlineStr">
        <is>
          <t>15:48:00</t>
        </is>
      </c>
      <c r="F4" s="159" t="inlineStr">
        <is>
          <t>17:50:00</t>
        </is>
      </c>
      <c r="G4" s="150" t="inlineStr">
        <is>
          <t>02:02:00</t>
        </is>
      </c>
      <c r="H4" s="147" t="n"/>
      <c r="I4" s="159" t="n"/>
      <c r="J4" s="150" t="n"/>
      <c r="K4" s="151" t="inlineStr">
        <is>
          <t>05:09:00</t>
        </is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09:56:00</t>
        </is>
      </c>
      <c r="C5" s="159" t="inlineStr">
        <is>
          <t>13:47:00</t>
        </is>
      </c>
      <c r="D5" s="149" t="inlineStr">
        <is>
          <t>03:51:00</t>
        </is>
      </c>
      <c r="E5" s="147" t="n"/>
      <c r="F5" s="159" t="n"/>
      <c r="G5" s="150" t="n"/>
      <c r="H5" s="147" t="n"/>
      <c r="I5" s="159" t="n"/>
      <c r="J5" s="150" t="n"/>
      <c r="K5" s="151" t="inlineStr">
        <is>
          <t>03:51:00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09:50:00</t>
        </is>
      </c>
      <c r="C6" s="152" t="inlineStr">
        <is>
          <t>13:48:00</t>
        </is>
      </c>
      <c r="D6" s="153" t="inlineStr">
        <is>
          <t>03:58:00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03:58:00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09:26:00</t>
        </is>
      </c>
      <c r="C7" s="155" t="inlineStr">
        <is>
          <t>13:49:00</t>
        </is>
      </c>
      <c r="D7" s="108" t="inlineStr">
        <is>
          <t>04:23:00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04:23:00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10:04:27</t>
        </is>
      </c>
      <c r="C10" s="176" t="inlineStr">
        <is>
          <t>11:27:43</t>
        </is>
      </c>
      <c r="D10" s="144" t="inlineStr">
        <is>
          <t>01:23:16</t>
        </is>
      </c>
      <c r="E10" s="175" t="inlineStr">
        <is>
          <t>13:11:44</t>
        </is>
      </c>
      <c r="F10" s="176" t="inlineStr">
        <is>
          <t>14:25:54</t>
        </is>
      </c>
      <c r="G10" s="91">
        <f>F10-E10</f>
        <v/>
      </c>
      <c r="H10" s="175" t="inlineStr">
        <is>
          <t>16:08:18</t>
        </is>
      </c>
      <c r="I10" s="176" t="inlineStr">
        <is>
          <t>16:57:55</t>
        </is>
      </c>
      <c r="J10" s="145" t="inlineStr">
        <is>
          <t>00:49:37</t>
        </is>
      </c>
      <c r="K10" s="92">
        <f>D10+G10+J10</f>
        <v/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inlineStr">
        <is>
          <t>10:07:08</t>
        </is>
      </c>
      <c r="C11" s="159" t="inlineStr">
        <is>
          <t>12:57:51</t>
        </is>
      </c>
      <c r="D11" s="149" t="inlineStr">
        <is>
          <t>02:50:43</t>
        </is>
      </c>
      <c r="E11" s="147" t="inlineStr">
        <is>
          <t>15:52:35</t>
        </is>
      </c>
      <c r="F11" s="159" t="n">
        <v>0.7031828703703704</v>
      </c>
      <c r="G11" s="103">
        <f>F11-E11</f>
        <v/>
      </c>
      <c r="H11" s="147" t="n"/>
      <c r="I11" s="159" t="n"/>
      <c r="J11" s="150" t="n"/>
      <c r="K11" s="104">
        <f>D11+G11+J11</f>
        <v/>
      </c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10:03:35</t>
        </is>
      </c>
      <c r="C12" s="159" t="inlineStr">
        <is>
          <t>13:57:06</t>
        </is>
      </c>
      <c r="D12" s="149" t="inlineStr">
        <is>
          <t>03:53:31</t>
        </is>
      </c>
      <c r="E12" s="147" t="n"/>
      <c r="F12" s="159" t="n"/>
      <c r="G12" s="103">
        <f>F12-E12</f>
        <v/>
      </c>
      <c r="H12" s="147" t="n"/>
      <c r="I12" s="159" t="n"/>
      <c r="J12" s="150" t="n"/>
      <c r="K12" s="104">
        <f>D12+G12+J12</f>
        <v/>
      </c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n"/>
      <c r="C13" s="152" t="n"/>
      <c r="D13" s="153" t="n"/>
      <c r="E13" s="147" t="n"/>
      <c r="F13" s="152" t="n"/>
      <c r="G13" s="103">
        <f>F13-E13</f>
        <v/>
      </c>
      <c r="H13" s="147" t="n"/>
      <c r="I13" s="152" t="n"/>
      <c r="J13" s="150" t="n"/>
      <c r="K13" s="104">
        <f>D13+G13+J13</f>
        <v/>
      </c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09:41:44</t>
        </is>
      </c>
      <c r="C14" s="155" t="inlineStr">
        <is>
          <t>13:54:00</t>
        </is>
      </c>
      <c r="D14" s="108" t="inlineStr">
        <is>
          <t>04:12:16</t>
        </is>
      </c>
      <c r="E14" s="154" t="n"/>
      <c r="F14" s="155" t="n"/>
      <c r="G14" s="114">
        <f>F14-E14</f>
        <v/>
      </c>
      <c r="H14" s="154" t="n"/>
      <c r="I14" s="155" t="n"/>
      <c r="J14" s="108" t="n"/>
      <c r="K14" s="115">
        <f>D14+G14+J14</f>
        <v/>
      </c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10:08:30</t>
        </is>
      </c>
      <c r="C17" s="28" t="inlineStr">
        <is>
          <t>11:22:32</t>
        </is>
      </c>
      <c r="D17" s="29" t="inlineStr">
        <is>
          <t>01:14:02</t>
        </is>
      </c>
      <c r="E17" s="26" t="inlineStr">
        <is>
          <t>13:02:46</t>
        </is>
      </c>
      <c r="F17" s="28" t="inlineStr">
        <is>
          <t>14:26:55</t>
        </is>
      </c>
      <c r="G17" s="31" t="inlineStr">
        <is>
          <t>01:24:09</t>
        </is>
      </c>
      <c r="H17" s="26" t="inlineStr">
        <is>
          <t>16:09:49</t>
        </is>
      </c>
      <c r="I17" s="28" t="inlineStr">
        <is>
          <t>16:57:13</t>
        </is>
      </c>
      <c r="J17" s="31" t="inlineStr">
        <is>
          <t>00:47:24</t>
        </is>
      </c>
      <c r="K17" s="38" t="inlineStr">
        <is>
          <t>03:25:35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16:01:40</t>
        </is>
      </c>
      <c r="C18" s="42" t="inlineStr">
        <is>
          <t>17:05:43</t>
        </is>
      </c>
      <c r="D18" s="43" t="inlineStr">
        <is>
          <t>01:04:03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01:04:03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09:54:31</t>
        </is>
      </c>
      <c r="C19" s="42" t="inlineStr">
        <is>
          <t>14:14:29</t>
        </is>
      </c>
      <c r="D19" s="43" t="inlineStr">
        <is>
          <t>04:19:58</t>
        </is>
      </c>
      <c r="E19" s="41" t="n"/>
      <c r="F19" s="42" t="n"/>
      <c r="G19" s="44" t="n"/>
      <c r="H19" s="41" t="n"/>
      <c r="I19" s="42" t="n"/>
      <c r="J19" s="44" t="n"/>
      <c r="K19" s="45" t="inlineStr">
        <is>
          <t>04:19:58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n"/>
      <c r="C20" s="49" t="n"/>
      <c r="D20" s="50" t="n"/>
      <c r="E20" s="41" t="n"/>
      <c r="F20" s="49" t="n"/>
      <c r="G20" s="44" t="n"/>
      <c r="H20" s="41" t="n"/>
      <c r="I20" s="49" t="n"/>
      <c r="J20" s="44" t="n"/>
      <c r="K20" s="45" t="n"/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JAVIER GUERRERO SALAS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n"/>
      <c r="C3" s="176" t="n"/>
      <c r="D3" s="144" t="n"/>
      <c r="E3" s="175" t="n"/>
      <c r="F3" s="176" t="n"/>
      <c r="G3" s="145" t="n"/>
      <c r="H3" s="175" t="n"/>
      <c r="I3" s="176" t="n"/>
      <c r="J3" s="145" t="n"/>
      <c r="K3" s="146" t="n"/>
      <c r="L3" s="110" t="n"/>
      <c r="M3" s="96" t="n"/>
      <c r="N3" s="96" t="n"/>
      <c r="O3" s="96" t="n"/>
      <c r="P3" s="111" t="n">
        <v>19.44837962962963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n"/>
      <c r="C4" s="159" t="n"/>
      <c r="D4" s="149" t="n"/>
      <c r="E4" s="147" t="n"/>
      <c r="F4" s="159" t="n"/>
      <c r="G4" s="150" t="n"/>
      <c r="H4" s="147" t="n"/>
      <c r="I4" s="159" t="n"/>
      <c r="J4" s="150" t="n"/>
      <c r="K4" s="151" t="n"/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13:01:00</t>
        </is>
      </c>
      <c r="C5" s="159" t="inlineStr">
        <is>
          <t>17:31:00</t>
        </is>
      </c>
      <c r="D5" s="149" t="inlineStr">
        <is>
          <t>04:30:00</t>
        </is>
      </c>
      <c r="E5" s="147" t="n"/>
      <c r="F5" s="159" t="n"/>
      <c r="G5" s="150" t="n"/>
      <c r="H5" s="147" t="n"/>
      <c r="I5" s="159" t="n"/>
      <c r="J5" s="150" t="n"/>
      <c r="K5" s="151" t="inlineStr">
        <is>
          <t>04:30:00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13:47:00</t>
        </is>
      </c>
      <c r="C6" s="152" t="inlineStr">
        <is>
          <t>18:26:00</t>
        </is>
      </c>
      <c r="D6" s="153" t="inlineStr">
        <is>
          <t>04:39:00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04:39:00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13:33:00</t>
        </is>
      </c>
      <c r="C7" s="155" t="inlineStr">
        <is>
          <t>18:00:00</t>
        </is>
      </c>
      <c r="D7" s="108" t="inlineStr">
        <is>
          <t>04:27:00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04:27:00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26" t="n"/>
      <c r="C10" s="28" t="n"/>
      <c r="D10" s="29" t="n"/>
      <c r="E10" s="26" t="n"/>
      <c r="F10" s="28" t="n"/>
      <c r="G10" s="31" t="n"/>
      <c r="H10" s="26" t="n"/>
      <c r="I10" s="28" t="n"/>
      <c r="J10" s="31" t="n"/>
      <c r="K10" s="38" t="n"/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41" t="n"/>
      <c r="C11" s="42" t="n"/>
      <c r="D11" s="43" t="n"/>
      <c r="E11" s="41" t="n"/>
      <c r="F11" s="42" t="n"/>
      <c r="G11" s="44" t="n"/>
      <c r="H11" s="41" t="n"/>
      <c r="I11" s="42" t="n"/>
      <c r="J11" s="44" t="n"/>
      <c r="K11" s="45" t="n"/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41" t="n"/>
      <c r="C12" s="42" t="n"/>
      <c r="D12" s="43" t="n"/>
      <c r="E12" s="41" t="n"/>
      <c r="F12" s="42" t="n"/>
      <c r="G12" s="44" t="n"/>
      <c r="H12" s="41" t="n"/>
      <c r="I12" s="42" t="n"/>
      <c r="J12" s="44" t="n"/>
      <c r="K12" s="45" t="n"/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41" t="n"/>
      <c r="C13" s="49" t="n"/>
      <c r="D13" s="50" t="n"/>
      <c r="E13" s="41" t="n"/>
      <c r="F13" s="49" t="n"/>
      <c r="G13" s="44" t="n"/>
      <c r="H13" s="41" t="n"/>
      <c r="I13" s="49" t="n"/>
      <c r="J13" s="44" t="n"/>
      <c r="K13" s="45" t="n"/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51" t="n"/>
      <c r="C14" s="52" t="n"/>
      <c r="D14" s="48" t="n"/>
      <c r="E14" s="51" t="n"/>
      <c r="F14" s="52" t="n"/>
      <c r="G14" s="48" t="n"/>
      <c r="H14" s="51" t="n"/>
      <c r="I14" s="52" t="n"/>
      <c r="J14" s="48" t="n"/>
      <c r="K14" s="53" t="n"/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SUMPRODUCT(VALUE(K10:K14))-(SUM((L10:L14)))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n"/>
      <c r="C17" s="28" t="n"/>
      <c r="D17" s="29" t="n"/>
      <c r="E17" s="26" t="n"/>
      <c r="F17" s="28" t="n"/>
      <c r="G17" s="31" t="n"/>
      <c r="H17" s="26" t="n"/>
      <c r="I17" s="28" t="n"/>
      <c r="J17" s="31" t="n"/>
      <c r="K17" s="38" t="n"/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n"/>
      <c r="C18" s="42" t="n"/>
      <c r="D18" s="43" t="n"/>
      <c r="E18" s="41" t="n"/>
      <c r="F18" s="42" t="n"/>
      <c r="G18" s="44" t="n"/>
      <c r="H18" s="41" t="n"/>
      <c r="I18" s="42" t="n"/>
      <c r="J18" s="44" t="n"/>
      <c r="K18" s="45" t="n"/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n"/>
      <c r="C19" s="42" t="n"/>
      <c r="D19" s="43" t="n"/>
      <c r="E19" s="41" t="n"/>
      <c r="F19" s="42" t="n"/>
      <c r="G19" s="44" t="n"/>
      <c r="H19" s="41" t="n"/>
      <c r="I19" s="42" t="n"/>
      <c r="J19" s="44" t="n"/>
      <c r="K19" s="45" t="n"/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n"/>
      <c r="C20" s="49" t="n"/>
      <c r="D20" s="50" t="n"/>
      <c r="E20" s="41" t="n"/>
      <c r="F20" s="49" t="n"/>
      <c r="G20" s="44" t="n"/>
      <c r="H20" s="41" t="n"/>
      <c r="I20" s="49" t="n"/>
      <c r="J20" s="44" t="n"/>
      <c r="K20" s="45" t="n"/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SUMPRODUCT(VALUE(K17:K21))-(SUM((L17:L21)))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SUMPRODUCT(VALUE(K24:K28))-(SUM((L24:L28)))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SUMPRODUCT(VALUE(K31:K35))-(SUM((L31:L35)))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SUMPRODUCT(VALUE(K38:K42))-(SUM((L38:L42)))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SUMPRODUCT(VALUE(K45:K49))-(SUM((L45:L49)))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SUMPRODUCT(VALUE(K52:K56))-(SUM((L52:L56)))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SUMPRODUCT(VALUE(K59:K63))-(SUM((L59:L63)))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SUMPRODUCT(VALUE(K66:K70))-(SUM((L66:L70)))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SUMPRODUCT(VALUE(K73:K77))-(SUM((L73:L77)))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SUMPRODUCT(VALUE(K80:K84))-(SUM((L80:L84)))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SUMPRODUCT(VALUE(K87:K91))-(SUM((L87:L91)))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SUMPRODUCT(VALUE(K94:K98))-(SUM((L94:L98)))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SUMPRODUCT(VALUE(K101:K105))-(SUM((L101:L105)))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SUMPRODUCT(VALUE(K108:K112))-(SUM((L108:L112)))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SUMPRODUCT(VALUE(K115:K119))-(SUM((L115:L119)))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SUMPRODUCT(VALUE(K122:K126))-(SUM((L122:L126)))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SUMPRODUCT(VALUE(K129:K133))-(SUM((L129:L133)))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SUMPRODUCT(VALUE(K136:K140))-(SUM((L136:L140)))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SUMPRODUCT(VALUE(K143:K147))-(SUM((L143:L147)))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SUMPRODUCT(VALUE(K150:K154))-(SUM((L150:L154)))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SUMPRODUCT(VALUE(K157:K161))-(SUM((L157:L161)))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SUMPRODUCT(VALUE(K164:K168))-(SUM((L164:L168)))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SUMPRODUCT(VALUE(K171:K175))-(SUM((L171:L175)))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SUMPRODUCT(VALUE(K178:K182))-(SUM((L178:L182)))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SUMPRODUCT(VALUE(K185:K189))-(SUM((L185:L189)))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SUMPRODUCT(VALUE(K192:K196))-(SUM((L192:L196)))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SUMPRODUCT(VALUE(K199:K203))-(SUM((L199:L203)))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SUMPRODUCT(VALUE(K206:K210))-(SUM((L206:L210)))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SUMPRODUCT(VALUE(K213:K217))-(SUM((L213:L217)))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SUMPRODUCT(VALUE(K220:K224))-(SUM((L220:L224)))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SUMPRODUCT(VALUE(K227:K231))-(SUM((L227:L231)))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SUMPRODUCT(VALUE(K234:K238))-(SUM((L234:L238)))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SUMPRODUCT(VALUE(K241:K245))-(SUM((L241:L245)))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SUMPRODUCT(VALUE(K248:K252))-(SUM((L248:L252)))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SUMPRODUCT(VALUE(K255:K259))-(SUM((L255:L259)))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SUMPRODUCT(VALUE(K262:K266))-(SUM((L262:L266)))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SUMPRODUCT(VALUE(K269:K273))-(SUM((L269:L273)))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SUMPRODUCT(VALUE(K276:K280))-(SUM((L276:L280)))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SUMPRODUCT(VALUE(K283:K287))-(SUM((L283:L287)))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SUMPRODUCT(VALUE(K290:K294))-(SUM((L290:L294)))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SUMPRODUCT(VALUE(K297:K301))-(SUM((L297:L301)))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KARLA YAMILET AGUILAR RAMÍREZ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07:25:00</t>
        </is>
      </c>
      <c r="C3" s="176" t="inlineStr">
        <is>
          <t>11:17:00</t>
        </is>
      </c>
      <c r="D3" s="144" t="inlineStr">
        <is>
          <t>03:52:00</t>
        </is>
      </c>
      <c r="E3" s="175" t="n"/>
      <c r="F3" s="176" t="n"/>
      <c r="G3" s="145" t="n"/>
      <c r="H3" s="175" t="n"/>
      <c r="I3" s="176" t="n"/>
      <c r="J3" s="145" t="n"/>
      <c r="K3" s="146" t="inlineStr">
        <is>
          <t>03:52:00</t>
        </is>
      </c>
      <c r="L3" s="110" t="n"/>
      <c r="M3" s="96" t="n"/>
      <c r="N3" s="96" t="n"/>
      <c r="O3" s="96" t="n"/>
      <c r="P3" s="111" t="n">
        <v>11.1855787037037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11:59:00</t>
        </is>
      </c>
      <c r="C4" s="159" t="inlineStr">
        <is>
          <t>15:57:00</t>
        </is>
      </c>
      <c r="D4" s="149" t="inlineStr">
        <is>
          <t>03:58:00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03:58:00</t>
        </is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07:31:00</t>
        </is>
      </c>
      <c r="C5" s="159" t="inlineStr">
        <is>
          <t>11:22:00</t>
        </is>
      </c>
      <c r="D5" s="149" t="inlineStr">
        <is>
          <t>03:51:00</t>
        </is>
      </c>
      <c r="E5" s="147" t="n"/>
      <c r="F5" s="159" t="n"/>
      <c r="G5" s="150" t="n"/>
      <c r="H5" s="147" t="n"/>
      <c r="I5" s="159" t="n"/>
      <c r="J5" s="150" t="n"/>
      <c r="K5" s="151" t="inlineStr">
        <is>
          <t>03:51:00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12:14:00</t>
        </is>
      </c>
      <c r="C6" s="152" t="inlineStr">
        <is>
          <t>16:01:00</t>
        </is>
      </c>
      <c r="D6" s="153" t="inlineStr">
        <is>
          <t>03:47:00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03:47:00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07:28:00</t>
        </is>
      </c>
      <c r="C7" s="155" t="inlineStr">
        <is>
          <t>11:11:00</t>
        </is>
      </c>
      <c r="D7" s="108" t="inlineStr">
        <is>
          <t>03:43:00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03:43:00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07:37:17</t>
        </is>
      </c>
      <c r="C10" s="176" t="inlineStr">
        <is>
          <t>11:30:11</t>
        </is>
      </c>
      <c r="D10" s="144" t="inlineStr">
        <is>
          <t>03:52:54</t>
        </is>
      </c>
      <c r="E10" s="175" t="n"/>
      <c r="F10" s="176" t="n"/>
      <c r="G10" s="145" t="n"/>
      <c r="H10" s="175" t="n"/>
      <c r="I10" s="176" t="n"/>
      <c r="J10" s="145" t="n"/>
      <c r="K10" s="146" t="inlineStr">
        <is>
          <t>03:52:54</t>
        </is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inlineStr">
        <is>
          <t>12:00:13</t>
        </is>
      </c>
      <c r="C11" s="159" t="inlineStr">
        <is>
          <t>16:04:28</t>
        </is>
      </c>
      <c r="D11" s="149" t="inlineStr">
        <is>
          <t>04:04:15</t>
        </is>
      </c>
      <c r="E11" s="147" t="n"/>
      <c r="F11" s="159" t="n"/>
      <c r="G11" s="150" t="n"/>
      <c r="H11" s="147" t="n"/>
      <c r="I11" s="159" t="n"/>
      <c r="J11" s="150" t="n"/>
      <c r="K11" s="151" t="inlineStr">
        <is>
          <t>04:04:15</t>
        </is>
      </c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07:37:17</t>
        </is>
      </c>
      <c r="C12" s="159" t="inlineStr">
        <is>
          <t>11:36:10</t>
        </is>
      </c>
      <c r="D12" s="149" t="inlineStr">
        <is>
          <t>03:58:53</t>
        </is>
      </c>
      <c r="E12" s="147" t="n"/>
      <c r="F12" s="159" t="n"/>
      <c r="G12" s="150" t="n"/>
      <c r="H12" s="147" t="n"/>
      <c r="I12" s="159" t="n"/>
      <c r="J12" s="150" t="n"/>
      <c r="K12" s="151" t="inlineStr">
        <is>
          <t>03:58:53</t>
        </is>
      </c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inlineStr">
        <is>
          <t>09:57:08</t>
        </is>
      </c>
      <c r="C13" s="152" t="inlineStr">
        <is>
          <t>14:00:10</t>
        </is>
      </c>
      <c r="D13" s="153" t="inlineStr">
        <is>
          <t>04:03:02</t>
        </is>
      </c>
      <c r="E13" s="147" t="n"/>
      <c r="F13" s="152" t="n"/>
      <c r="G13" s="150" t="n"/>
      <c r="H13" s="147" t="n"/>
      <c r="I13" s="152" t="n"/>
      <c r="J13" s="150" t="n"/>
      <c r="K13" s="151" t="inlineStr">
        <is>
          <t>04:03:02</t>
        </is>
      </c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07:33:58</t>
        </is>
      </c>
      <c r="C14" s="155" t="inlineStr">
        <is>
          <t>11:31:06</t>
        </is>
      </c>
      <c r="D14" s="108" t="inlineStr">
        <is>
          <t>03:57:08</t>
        </is>
      </c>
      <c r="E14" s="154" t="n"/>
      <c r="F14" s="155" t="n"/>
      <c r="G14" s="108" t="n"/>
      <c r="H14" s="154" t="n"/>
      <c r="I14" s="155" t="n"/>
      <c r="J14" s="108" t="n"/>
      <c r="K14" s="156" t="inlineStr">
        <is>
          <t>03:57:08</t>
        </is>
      </c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07:39:22</t>
        </is>
      </c>
      <c r="C17" s="28" t="inlineStr">
        <is>
          <t>11:40:05</t>
        </is>
      </c>
      <c r="D17" s="29" t="inlineStr">
        <is>
          <t>04:00:43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04:00:43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12:00:35</t>
        </is>
      </c>
      <c r="C18" s="42" t="inlineStr">
        <is>
          <t>16:12:05</t>
        </is>
      </c>
      <c r="D18" s="43" t="inlineStr">
        <is>
          <t>04:11:30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04:11:30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07:37:46</t>
        </is>
      </c>
      <c r="C19" s="42" t="inlineStr">
        <is>
          <t>11:31:35</t>
        </is>
      </c>
      <c r="D19" s="43" t="inlineStr">
        <is>
          <t>03:53:49</t>
        </is>
      </c>
      <c r="E19" s="41" t="n"/>
      <c r="F19" s="42" t="n"/>
      <c r="G19" s="44" t="n"/>
      <c r="H19" s="41" t="n"/>
      <c r="I19" s="42" t="n"/>
      <c r="J19" s="44" t="n"/>
      <c r="K19" s="45" t="inlineStr">
        <is>
          <t>03:53:49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12:09:25</t>
        </is>
      </c>
      <c r="C20" s="49" t="n"/>
      <c r="D20" s="50" t="inlineStr">
        <is>
          <t>00:00:00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00:00:00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KATHERINE MENDEZ MARQUEZ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09:51:00</t>
        </is>
      </c>
      <c r="C3" s="176" t="inlineStr">
        <is>
          <t>11:23:00</t>
        </is>
      </c>
      <c r="D3" s="144" t="inlineStr">
        <is>
          <t>01:32:00</t>
        </is>
      </c>
      <c r="E3" s="175" t="inlineStr">
        <is>
          <t>12:44:00</t>
        </is>
      </c>
      <c r="F3" s="176" t="inlineStr">
        <is>
          <t>14:26:00</t>
        </is>
      </c>
      <c r="G3" s="145" t="inlineStr">
        <is>
          <t>01:42:00</t>
        </is>
      </c>
      <c r="H3" s="175" t="inlineStr">
        <is>
          <t>16:31:00</t>
        </is>
      </c>
      <c r="I3" s="176" t="inlineStr">
        <is>
          <t>17:17:00</t>
        </is>
      </c>
      <c r="J3" s="145" t="inlineStr">
        <is>
          <t>00:46:00</t>
        </is>
      </c>
      <c r="K3" s="146" t="inlineStr">
        <is>
          <t>04:00:00</t>
        </is>
      </c>
      <c r="L3" s="110" t="n"/>
      <c r="M3" s="96" t="n"/>
      <c r="N3" s="96" t="n"/>
      <c r="O3" s="96" t="n"/>
      <c r="P3" s="111" t="n">
        <v>17.0581712962963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09:03:00</t>
        </is>
      </c>
      <c r="C4" s="159" t="inlineStr">
        <is>
          <t>09:55:00</t>
        </is>
      </c>
      <c r="D4" s="149" t="inlineStr">
        <is>
          <t>00:52:00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00:52:00</t>
        </is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09:42:00</t>
        </is>
      </c>
      <c r="C5" s="159" t="inlineStr">
        <is>
          <t>11:20:00</t>
        </is>
      </c>
      <c r="D5" s="149" t="inlineStr">
        <is>
          <t>01:38:00</t>
        </is>
      </c>
      <c r="E5" s="147" t="inlineStr">
        <is>
          <t>11:55:00</t>
        </is>
      </c>
      <c r="F5" s="159" t="inlineStr">
        <is>
          <t>14:18:00</t>
        </is>
      </c>
      <c r="G5" s="150" t="inlineStr">
        <is>
          <t>02:23:00</t>
        </is>
      </c>
      <c r="H5" s="147" t="inlineStr">
        <is>
          <t>15:49:00</t>
        </is>
      </c>
      <c r="I5" s="159" t="inlineStr">
        <is>
          <t>17:12:00</t>
        </is>
      </c>
      <c r="J5" s="150" t="inlineStr">
        <is>
          <t>01:23:00</t>
        </is>
      </c>
      <c r="K5" s="151" t="inlineStr">
        <is>
          <t>05:24:00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09:48:00</t>
        </is>
      </c>
      <c r="C6" s="152" t="inlineStr">
        <is>
          <t>15:17:00</t>
        </is>
      </c>
      <c r="D6" s="153" t="inlineStr">
        <is>
          <t>05:29:00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05:29:00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12:48:00</t>
        </is>
      </c>
      <c r="C7" s="155" t="inlineStr">
        <is>
          <t>17:13:00</t>
        </is>
      </c>
      <c r="D7" s="108" t="inlineStr">
        <is>
          <t>04:25:00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04:25:00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10:00:07</t>
        </is>
      </c>
      <c r="C10" s="176" t="inlineStr">
        <is>
          <t>11:32:01</t>
        </is>
      </c>
      <c r="D10" s="144" t="inlineStr">
        <is>
          <t>01:31:54</t>
        </is>
      </c>
      <c r="E10" s="175" t="inlineStr">
        <is>
          <t>12:45:52</t>
        </is>
      </c>
      <c r="F10" s="176" t="inlineStr">
        <is>
          <t>14:32:00</t>
        </is>
      </c>
      <c r="G10" s="145" t="inlineStr">
        <is>
          <t>01:46:08</t>
        </is>
      </c>
      <c r="H10" s="175" t="inlineStr">
        <is>
          <t>15:53:44</t>
        </is>
      </c>
      <c r="I10" s="176" t="inlineStr">
        <is>
          <t>17:23:06</t>
        </is>
      </c>
      <c r="J10" s="145" t="inlineStr">
        <is>
          <t>01:29:22</t>
        </is>
      </c>
      <c r="K10" s="146" t="inlineStr">
        <is>
          <t>04:47:24</t>
        </is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n"/>
      <c r="C11" s="159" t="n"/>
      <c r="D11" s="149" t="n"/>
      <c r="E11" s="147" t="n"/>
      <c r="F11" s="159" t="n"/>
      <c r="G11" s="150" t="n"/>
      <c r="H11" s="147" t="n"/>
      <c r="I11" s="159" t="n"/>
      <c r="J11" s="150" t="n"/>
      <c r="K11" s="151" t="n"/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09:56:02</t>
        </is>
      </c>
      <c r="C12" s="159" t="inlineStr">
        <is>
          <t>13:03:36</t>
        </is>
      </c>
      <c r="D12" s="149" t="inlineStr">
        <is>
          <t>03:07:34</t>
        </is>
      </c>
      <c r="E12" s="147" t="n"/>
      <c r="F12" s="159" t="n"/>
      <c r="G12" s="150" t="n"/>
      <c r="H12" s="147" t="n"/>
      <c r="I12" s="159" t="n"/>
      <c r="J12" s="150" t="n"/>
      <c r="K12" s="151" t="inlineStr">
        <is>
          <t>03:07:34</t>
        </is>
      </c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n"/>
      <c r="C13" s="152" t="n"/>
      <c r="D13" s="153" t="n"/>
      <c r="E13" s="147" t="n"/>
      <c r="F13" s="152" t="n"/>
      <c r="G13" s="150" t="n"/>
      <c r="H13" s="147" t="n"/>
      <c r="I13" s="152" t="n"/>
      <c r="J13" s="150" t="n"/>
      <c r="K13" s="151" t="n"/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10:04:37</t>
        </is>
      </c>
      <c r="C14" s="155" t="inlineStr">
        <is>
          <t>11:26:09</t>
        </is>
      </c>
      <c r="D14" s="108" t="inlineStr">
        <is>
          <t>01:21:32</t>
        </is>
      </c>
      <c r="E14" s="154" t="inlineStr">
        <is>
          <t>12:55:13</t>
        </is>
      </c>
      <c r="F14" s="155" t="inlineStr">
        <is>
          <t>14:32:53</t>
        </is>
      </c>
      <c r="G14" s="108" t="inlineStr">
        <is>
          <t>01:37:40</t>
        </is>
      </c>
      <c r="H14" s="154" t="inlineStr">
        <is>
          <t>16:10:24</t>
        </is>
      </c>
      <c r="I14" s="155" t="inlineStr">
        <is>
          <t>17:25:31</t>
        </is>
      </c>
      <c r="J14" s="108" t="inlineStr">
        <is>
          <t>01:15:07</t>
        </is>
      </c>
      <c r="K14" s="156" t="inlineStr">
        <is>
          <t>04:14:19</t>
        </is>
      </c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09:55:57</t>
        </is>
      </c>
      <c r="C17" s="28" t="inlineStr">
        <is>
          <t>11:45:51</t>
        </is>
      </c>
      <c r="D17" s="29" t="inlineStr">
        <is>
          <t>01:49:54</t>
        </is>
      </c>
      <c r="E17" s="26" t="inlineStr">
        <is>
          <t>12:55:58</t>
        </is>
      </c>
      <c r="F17" s="28" t="inlineStr">
        <is>
          <t>17:15:17</t>
        </is>
      </c>
      <c r="G17" s="31" t="inlineStr">
        <is>
          <t>04:19:19</t>
        </is>
      </c>
      <c r="H17" s="26" t="n"/>
      <c r="I17" s="28" t="n"/>
      <c r="J17" s="31" t="n"/>
      <c r="K17" s="38" t="inlineStr">
        <is>
          <t>06:09:13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n"/>
      <c r="C18" s="42" t="n"/>
      <c r="D18" s="43" t="n"/>
      <c r="E18" s="41" t="n"/>
      <c r="F18" s="42" t="n"/>
      <c r="G18" s="44" t="n"/>
      <c r="H18" s="41" t="n"/>
      <c r="I18" s="42" t="n"/>
      <c r="J18" s="44" t="n"/>
      <c r="K18" s="45" t="n"/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09:54:20</t>
        </is>
      </c>
      <c r="C19" s="42" t="inlineStr">
        <is>
          <t>11:25:45</t>
        </is>
      </c>
      <c r="D19" s="43" t="inlineStr">
        <is>
          <t>01:31:25</t>
        </is>
      </c>
      <c r="E19" s="41" t="inlineStr">
        <is>
          <t>13:02:06</t>
        </is>
      </c>
      <c r="F19" s="42" t="inlineStr">
        <is>
          <t>17:27:09</t>
        </is>
      </c>
      <c r="G19" s="44" t="inlineStr">
        <is>
          <t>04:25:03</t>
        </is>
      </c>
      <c r="H19" s="41" t="n"/>
      <c r="I19" s="42" t="n"/>
      <c r="J19" s="44" t="n"/>
      <c r="K19" s="45" t="inlineStr">
        <is>
          <t>05:56:28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09:35:58</t>
        </is>
      </c>
      <c r="C20" s="49" t="n"/>
      <c r="D20" s="50" t="inlineStr">
        <is>
          <t>00:00:00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00:00:00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LUDWING PINEDA CUEVAS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60" t="n"/>
      <c r="C3" s="176" t="n"/>
      <c r="D3" s="97">
        <f>C3-B3</f>
        <v/>
      </c>
      <c r="E3" s="175" t="n"/>
      <c r="F3" s="176" t="n"/>
      <c r="G3" s="145" t="n"/>
      <c r="H3" s="175" t="n"/>
      <c r="I3" s="176" t="n"/>
      <c r="J3" s="145" t="n"/>
      <c r="K3" s="109">
        <f>D3+G3+J3</f>
        <v/>
      </c>
      <c r="L3" s="110" t="n"/>
      <c r="M3" s="96" t="n"/>
      <c r="N3" s="96" t="n"/>
      <c r="O3" s="96" t="n"/>
      <c r="P3" s="111" t="n"/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61" t="n"/>
      <c r="C4" s="162" t="n"/>
      <c r="D4" s="130">
        <f>C4-B4</f>
        <v/>
      </c>
      <c r="E4" s="147" t="n"/>
      <c r="F4" s="159" t="n"/>
      <c r="G4" s="150" t="n"/>
      <c r="H4" s="147" t="n"/>
      <c r="I4" s="159" t="n"/>
      <c r="J4" s="150" t="n"/>
      <c r="K4" s="117">
        <f>D4+G4+J4</f>
        <v/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63" t="inlineStr">
        <is>
          <t>15:50:00</t>
        </is>
      </c>
      <c r="C5" s="159" t="inlineStr">
        <is>
          <t>19:50:00</t>
        </is>
      </c>
      <c r="D5" s="130">
        <f>C5-B5</f>
        <v/>
      </c>
      <c r="E5" s="147" t="n"/>
      <c r="F5" s="159" t="n"/>
      <c r="G5" s="150" t="n"/>
      <c r="H5" s="147" t="n"/>
      <c r="I5" s="159" t="n"/>
      <c r="J5" s="150" t="n"/>
      <c r="K5" s="117">
        <f>D5+G5+J5</f>
        <v/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10:46:00</t>
        </is>
      </c>
      <c r="C6" s="152" t="inlineStr">
        <is>
          <t>14:51:00</t>
        </is>
      </c>
      <c r="D6" s="130">
        <f>C6-B6</f>
        <v/>
      </c>
      <c r="E6" s="147" t="n"/>
      <c r="F6" s="152" t="n"/>
      <c r="G6" s="150" t="n"/>
      <c r="H6" s="147" t="n"/>
      <c r="I6" s="152" t="n"/>
      <c r="J6" s="150" t="n"/>
      <c r="K6" s="117">
        <f>D6+G6+J6</f>
        <v/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15:49:00</t>
        </is>
      </c>
      <c r="C7" s="155" t="inlineStr">
        <is>
          <t>19:52:00</t>
        </is>
      </c>
      <c r="D7" s="136">
        <f>C7-B7</f>
        <v/>
      </c>
      <c r="E7" s="154" t="n"/>
      <c r="F7" s="155" t="n"/>
      <c r="G7" s="108" t="n"/>
      <c r="H7" s="154" t="n"/>
      <c r="I7" s="155" t="n"/>
      <c r="J7" s="108" t="n"/>
      <c r="K7" s="124">
        <f>D7+G7+J7</f>
        <v/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15:59:27</t>
        </is>
      </c>
      <c r="C10" s="155" t="inlineStr">
        <is>
          <t>19:55:17</t>
        </is>
      </c>
      <c r="D10" s="91">
        <f>C10-B10</f>
        <v/>
      </c>
      <c r="E10" s="175" t="n"/>
      <c r="F10" s="176" t="n"/>
      <c r="G10" s="145" t="n"/>
      <c r="H10" s="175" t="n"/>
      <c r="I10" s="176" t="n"/>
      <c r="J10" s="145" t="n"/>
      <c r="K10" s="92">
        <f>D10+G10+J10</f>
        <v/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inlineStr">
        <is>
          <t>12:01:04</t>
        </is>
      </c>
      <c r="C11" s="159" t="inlineStr">
        <is>
          <t>17:01:02</t>
        </is>
      </c>
      <c r="D11" s="103">
        <f>C11-B11</f>
        <v/>
      </c>
      <c r="E11" s="147" t="n"/>
      <c r="F11" s="159" t="n"/>
      <c r="G11" s="150" t="n"/>
      <c r="H11" s="147" t="n"/>
      <c r="I11" s="159" t="n"/>
      <c r="J11" s="150" t="n"/>
      <c r="K11" s="104">
        <f>D11+G11+J11</f>
        <v/>
      </c>
      <c r="L11" s="46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15:55:09</t>
        </is>
      </c>
      <c r="C12" s="159" t="inlineStr">
        <is>
          <t>19:59:14</t>
        </is>
      </c>
      <c r="D12" s="103">
        <f>C12-B12</f>
        <v/>
      </c>
      <c r="E12" s="147" t="n"/>
      <c r="F12" s="159" t="n"/>
      <c r="G12" s="150" t="n"/>
      <c r="H12" s="147" t="n"/>
      <c r="I12" s="159" t="n"/>
      <c r="J12" s="150" t="n"/>
      <c r="K12" s="104">
        <f>D12+G12+J12</f>
        <v/>
      </c>
      <c r="L12" s="132" t="n">
        <v>0.002835648148148148</v>
      </c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inlineStr">
        <is>
          <t>10:58:11</t>
        </is>
      </c>
      <c r="C13" s="152" t="inlineStr">
        <is>
          <t>14:50:28</t>
        </is>
      </c>
      <c r="D13" s="103">
        <f>C13-B13</f>
        <v/>
      </c>
      <c r="E13" s="147" t="n"/>
      <c r="F13" s="152" t="n"/>
      <c r="G13" s="150" t="n"/>
      <c r="H13" s="147" t="n"/>
      <c r="I13" s="152" t="n"/>
      <c r="J13" s="150" t="n"/>
      <c r="K13" s="104">
        <f>D13+G13+J13</f>
        <v/>
      </c>
      <c r="L13" s="46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15:37:16</t>
        </is>
      </c>
      <c r="C14" s="155" t="inlineStr">
        <is>
          <t>19:55:17</t>
        </is>
      </c>
      <c r="D14" s="114">
        <f>C14-B14</f>
        <v/>
      </c>
      <c r="E14" s="154" t="n"/>
      <c r="F14" s="155" t="n"/>
      <c r="G14" s="108" t="n"/>
      <c r="H14" s="154" t="n"/>
      <c r="I14" s="155" t="n"/>
      <c r="J14" s="108" t="n"/>
      <c r="K14" s="115">
        <f>D14+G14+J14</f>
        <v/>
      </c>
      <c r="L14" s="137" t="n">
        <v>0.01251157407407407</v>
      </c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16:01:48</t>
        </is>
      </c>
      <c r="C17" s="28" t="inlineStr">
        <is>
          <t>19:51:12</t>
        </is>
      </c>
      <c r="D17" s="29" t="inlineStr">
        <is>
          <t>03:49:24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03:49:24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n"/>
      <c r="C18" s="42" t="n"/>
      <c r="D18" s="43" t="n"/>
      <c r="E18" s="41" t="n"/>
      <c r="F18" s="42" t="n"/>
      <c r="G18" s="44" t="n"/>
      <c r="H18" s="41" t="n"/>
      <c r="I18" s="42" t="n"/>
      <c r="J18" s="44" t="n"/>
      <c r="K18" s="45" t="n"/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16:00:02</t>
        </is>
      </c>
      <c r="C19" s="42" t="inlineStr">
        <is>
          <t>19:58:16</t>
        </is>
      </c>
      <c r="D19" s="43" t="inlineStr">
        <is>
          <t>03:58:14</t>
        </is>
      </c>
      <c r="E19" s="41" t="n"/>
      <c r="F19" s="42" t="n"/>
      <c r="G19" s="44" t="n"/>
      <c r="H19" s="41" t="n"/>
      <c r="I19" s="42" t="n"/>
      <c r="J19" s="44" t="n"/>
      <c r="K19" s="45" t="inlineStr">
        <is>
          <t>03:58:14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11:01:18</t>
        </is>
      </c>
      <c r="C20" s="49" t="n"/>
      <c r="D20" s="50" t="inlineStr">
        <is>
          <t>00:00:00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00:00:00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 xml:space="preserve"> LUIS FERNANDO CASTILLO GARCÍA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14:23:00</t>
        </is>
      </c>
      <c r="C3" s="176" t="inlineStr">
        <is>
          <t>18:32:00</t>
        </is>
      </c>
      <c r="D3" s="144" t="inlineStr">
        <is>
          <t>04:09:00</t>
        </is>
      </c>
      <c r="E3" s="175" t="n"/>
      <c r="F3" s="176" t="n"/>
      <c r="G3" s="145" t="n"/>
      <c r="H3" s="175" t="n"/>
      <c r="I3" s="176" t="n"/>
      <c r="J3" s="145" t="n"/>
      <c r="K3" s="146" t="inlineStr">
        <is>
          <t>04:09:00</t>
        </is>
      </c>
      <c r="L3" s="172" t="n">
        <v>0.00625</v>
      </c>
      <c r="M3" s="96" t="n"/>
      <c r="N3" s="96" t="n"/>
      <c r="O3" s="96" t="n"/>
      <c r="P3" s="111" t="n">
        <v>11.98752314814815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08:06:00</t>
        </is>
      </c>
      <c r="C4" s="159" t="inlineStr">
        <is>
          <t>12:14:00</t>
        </is>
      </c>
      <c r="D4" s="149" t="inlineStr">
        <is>
          <t>04:08:00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04:08:00</t>
        </is>
      </c>
      <c r="L4" s="173" t="n">
        <v>0.005555555555555556</v>
      </c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14:18:00</t>
        </is>
      </c>
      <c r="C5" s="159" t="inlineStr">
        <is>
          <t>18:27:00</t>
        </is>
      </c>
      <c r="D5" s="149" t="inlineStr">
        <is>
          <t>04:09:00</t>
        </is>
      </c>
      <c r="E5" s="147" t="n"/>
      <c r="F5" s="159" t="n"/>
      <c r="G5" s="150" t="n"/>
      <c r="H5" s="147" t="n"/>
      <c r="I5" s="159" t="n"/>
      <c r="J5" s="150" t="n"/>
      <c r="K5" s="151" t="inlineStr">
        <is>
          <t>04:09:00</t>
        </is>
      </c>
      <c r="L5" s="173" t="n">
        <v>0.00625</v>
      </c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08:13:00</t>
        </is>
      </c>
      <c r="C6" s="152" t="inlineStr">
        <is>
          <t>12:13:00</t>
        </is>
      </c>
      <c r="D6" s="153" t="inlineStr">
        <is>
          <t>04:00:00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04:00:00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08:37:00</t>
        </is>
      </c>
      <c r="C7" s="155" t="inlineStr">
        <is>
          <t>13:11:00</t>
        </is>
      </c>
      <c r="D7" s="108" t="inlineStr">
        <is>
          <t>04:34:00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04:34:00</t>
        </is>
      </c>
      <c r="L7" s="174" t="n">
        <v>0.02361111111111111</v>
      </c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26" t="inlineStr">
        <is>
          <t>14:43:39</t>
        </is>
      </c>
      <c r="C10" s="28" t="inlineStr">
        <is>
          <t>18:55:53</t>
        </is>
      </c>
      <c r="D10" s="29" t="inlineStr">
        <is>
          <t>04:12:14</t>
        </is>
      </c>
      <c r="E10" s="26" t="n"/>
      <c r="F10" s="28" t="n"/>
      <c r="G10" s="31" t="n"/>
      <c r="H10" s="26" t="n"/>
      <c r="I10" s="28" t="n"/>
      <c r="J10" s="31" t="n"/>
      <c r="K10" s="38" t="inlineStr">
        <is>
          <t>04:12:14</t>
        </is>
      </c>
      <c r="L10" s="126" t="n">
        <v>0.00849537037037037</v>
      </c>
      <c r="M10" s="34" t="n"/>
      <c r="N10" s="34" t="inlineStr">
        <is>
          <t>Tiempo no justificado</t>
        </is>
      </c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41" t="inlineStr">
        <is>
          <t>08:02:27</t>
        </is>
      </c>
      <c r="C11" s="42" t="inlineStr">
        <is>
          <t>11:04:30</t>
        </is>
      </c>
      <c r="D11" s="43" t="inlineStr">
        <is>
          <t>03:02:03</t>
        </is>
      </c>
      <c r="E11" s="41" t="inlineStr">
        <is>
          <t>12:40:10</t>
        </is>
      </c>
      <c r="F11" s="42" t="inlineStr">
        <is>
          <t>13:47:27</t>
        </is>
      </c>
      <c r="G11" s="44" t="inlineStr">
        <is>
          <t>01:07:17</t>
        </is>
      </c>
      <c r="H11" s="41" t="n"/>
      <c r="I11" s="42" t="n"/>
      <c r="J11" s="44" t="n"/>
      <c r="K11" s="45" t="inlineStr">
        <is>
          <t>04:09:20</t>
        </is>
      </c>
      <c r="L11" s="132" t="n">
        <v>0.006481481481481481</v>
      </c>
      <c r="M11" s="164" t="n"/>
      <c r="N11" s="164" t="inlineStr">
        <is>
          <t>Tiempo no justificado</t>
        </is>
      </c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41" t="inlineStr">
        <is>
          <t>14:28:44</t>
        </is>
      </c>
      <c r="C12" s="42" t="inlineStr">
        <is>
          <t>18:31:56</t>
        </is>
      </c>
      <c r="D12" s="43" t="inlineStr">
        <is>
          <t>04:03:12</t>
        </is>
      </c>
      <c r="E12" s="41" t="n"/>
      <c r="F12" s="42" t="n"/>
      <c r="G12" s="44" t="n"/>
      <c r="H12" s="41" t="n"/>
      <c r="I12" s="42" t="n"/>
      <c r="J12" s="44" t="n"/>
      <c r="K12" s="45" t="inlineStr">
        <is>
          <t>04:03:12</t>
        </is>
      </c>
      <c r="L12" s="132" t="n">
        <v>0.00244212962962963</v>
      </c>
      <c r="M12" s="164" t="n"/>
      <c r="N12" s="164" t="inlineStr">
        <is>
          <t>Tiempo no justificado</t>
        </is>
      </c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41" t="inlineStr">
        <is>
          <t>08:14:45</t>
        </is>
      </c>
      <c r="C13" s="49" t="inlineStr">
        <is>
          <t>12:22:16</t>
        </is>
      </c>
      <c r="D13" s="50" t="inlineStr">
        <is>
          <t>04:07:31</t>
        </is>
      </c>
      <c r="E13" s="41" t="n"/>
      <c r="F13" s="49" t="n"/>
      <c r="G13" s="44" t="n"/>
      <c r="H13" s="41" t="n"/>
      <c r="I13" s="49" t="n"/>
      <c r="J13" s="44" t="n"/>
      <c r="K13" s="45" t="inlineStr">
        <is>
          <t>04:07:31</t>
        </is>
      </c>
      <c r="L13" s="132" t="n">
        <v>0.005219907407407407</v>
      </c>
      <c r="M13" s="164" t="n"/>
      <c r="N13" s="164" t="inlineStr">
        <is>
          <t>Tiempo no justificado</t>
        </is>
      </c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51" t="inlineStr">
        <is>
          <t>08:57:03</t>
        </is>
      </c>
      <c r="C14" s="52" t="inlineStr">
        <is>
          <t>12:57:52</t>
        </is>
      </c>
      <c r="D14" s="48" t="inlineStr">
        <is>
          <t>04:00:49</t>
        </is>
      </c>
      <c r="E14" s="51" t="n"/>
      <c r="F14" s="52" t="n"/>
      <c r="G14" s="48" t="n"/>
      <c r="H14" s="51" t="n"/>
      <c r="I14" s="52" t="n"/>
      <c r="J14" s="48" t="n"/>
      <c r="K14" s="53" t="inlineStr">
        <is>
          <t>04:00:49</t>
        </is>
      </c>
      <c r="L14" s="54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14:43:14</t>
        </is>
      </c>
      <c r="C17" s="28" t="inlineStr">
        <is>
          <t>18:47:38</t>
        </is>
      </c>
      <c r="D17" s="29" t="inlineStr">
        <is>
          <t>04:04:24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04:04:24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08:24:09</t>
        </is>
      </c>
      <c r="C18" s="42" t="inlineStr">
        <is>
          <t>12:28:38</t>
        </is>
      </c>
      <c r="D18" s="43" t="inlineStr">
        <is>
          <t>04:04:29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04:04:29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14:36:14</t>
        </is>
      </c>
      <c r="C19" s="42" t="inlineStr">
        <is>
          <t>18:45:27</t>
        </is>
      </c>
      <c r="D19" s="43" t="inlineStr">
        <is>
          <t>04:09:13</t>
        </is>
      </c>
      <c r="E19" s="41" t="n"/>
      <c r="F19" s="42" t="n"/>
      <c r="G19" s="44" t="n"/>
      <c r="H19" s="41" t="n"/>
      <c r="I19" s="42" t="n"/>
      <c r="J19" s="44" t="n"/>
      <c r="K19" s="45" t="inlineStr">
        <is>
          <t>04:09:13</t>
        </is>
      </c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08:52:14</t>
        </is>
      </c>
      <c r="C20" s="49" t="inlineStr">
        <is>
          <t>12:53:23</t>
        </is>
      </c>
      <c r="D20" s="50" t="inlineStr">
        <is>
          <t>04:01:09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04:01:09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MARIA NATALIA CABRERA MONJARAS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17:15:00</t>
        </is>
      </c>
      <c r="C3" s="176" t="inlineStr">
        <is>
          <t>18:59:00</t>
        </is>
      </c>
      <c r="D3" s="144" t="inlineStr">
        <is>
          <t>01:44:00</t>
        </is>
      </c>
      <c r="E3" s="175" t="n"/>
      <c r="F3" s="176" t="n"/>
      <c r="G3" s="145" t="n"/>
      <c r="H3" s="175" t="n"/>
      <c r="I3" s="176" t="n"/>
      <c r="J3" s="145" t="n"/>
      <c r="K3" s="146" t="inlineStr">
        <is>
          <t>01:44:00</t>
        </is>
      </c>
      <c r="L3" s="110" t="n"/>
      <c r="M3" s="96" t="n"/>
      <c r="N3" s="96" t="n"/>
      <c r="O3" s="96" t="n"/>
      <c r="P3" s="111" t="n">
        <v>9.878784722222223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07:05:00</t>
        </is>
      </c>
      <c r="C4" s="159" t="inlineStr">
        <is>
          <t>09:47:00</t>
        </is>
      </c>
      <c r="D4" s="149" t="inlineStr">
        <is>
          <t>02:42:00</t>
        </is>
      </c>
      <c r="E4" s="147" t="inlineStr">
        <is>
          <t>10:36:00</t>
        </is>
      </c>
      <c r="F4" s="159" t="inlineStr">
        <is>
          <t>12:37:00</t>
        </is>
      </c>
      <c r="G4" s="150" t="inlineStr">
        <is>
          <t>02:01:00</t>
        </is>
      </c>
      <c r="H4" s="147" t="n"/>
      <c r="I4" s="159" t="n"/>
      <c r="J4" s="150" t="n"/>
      <c r="K4" s="151" t="inlineStr">
        <is>
          <t>04:43:00</t>
        </is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09:52:00</t>
        </is>
      </c>
      <c r="C5" s="159" t="inlineStr">
        <is>
          <t>11:23:00</t>
        </is>
      </c>
      <c r="D5" s="149" t="inlineStr">
        <is>
          <t>01:31:00</t>
        </is>
      </c>
      <c r="E5" s="147" t="inlineStr">
        <is>
          <t>15:53:00</t>
        </is>
      </c>
      <c r="F5" s="159" t="inlineStr">
        <is>
          <t>18:55:00</t>
        </is>
      </c>
      <c r="G5" s="150" t="inlineStr">
        <is>
          <t>03:02:00</t>
        </is>
      </c>
      <c r="H5" s="147" t="n"/>
      <c r="I5" s="159" t="n"/>
      <c r="J5" s="150" t="n"/>
      <c r="K5" s="151" t="inlineStr">
        <is>
          <t>04:33:00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08:03:00</t>
        </is>
      </c>
      <c r="C6" s="152" t="inlineStr">
        <is>
          <t>11:52:00</t>
        </is>
      </c>
      <c r="D6" s="153" t="inlineStr">
        <is>
          <t>03:49:00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03:49:00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09:57:00</t>
        </is>
      </c>
      <c r="C7" s="155" t="inlineStr">
        <is>
          <t>12:19:00</t>
        </is>
      </c>
      <c r="D7" s="108" t="inlineStr">
        <is>
          <t>02:22:00</t>
        </is>
      </c>
      <c r="E7" s="154" t="inlineStr">
        <is>
          <t>16:09:00</t>
        </is>
      </c>
      <c r="F7" s="155" t="inlineStr">
        <is>
          <t>19:12:00</t>
        </is>
      </c>
      <c r="G7" s="108" t="inlineStr">
        <is>
          <t>03:03:00</t>
        </is>
      </c>
      <c r="H7" s="154" t="n"/>
      <c r="I7" s="155" t="n"/>
      <c r="J7" s="108" t="n"/>
      <c r="K7" s="156" t="inlineStr">
        <is>
          <t>05:25:00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26" t="inlineStr">
        <is>
          <t>17:07:23</t>
        </is>
      </c>
      <c r="C10" s="28" t="inlineStr">
        <is>
          <t>18:50:58</t>
        </is>
      </c>
      <c r="D10" s="97">
        <f>C10-B10</f>
        <v/>
      </c>
      <c r="E10" s="26" t="n"/>
      <c r="F10" s="28" t="n"/>
      <c r="G10" s="31" t="n"/>
      <c r="H10" s="26" t="n"/>
      <c r="I10" s="28" t="n"/>
      <c r="J10" s="31" t="n"/>
      <c r="K10" s="109">
        <f>D10+G10+J10</f>
        <v/>
      </c>
      <c r="L10" s="39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41" t="inlineStr">
        <is>
          <t>08:16:49</t>
        </is>
      </c>
      <c r="C11" s="42" t="inlineStr">
        <is>
          <t>13:34:17</t>
        </is>
      </c>
      <c r="D11" s="130">
        <f>C11-B11</f>
        <v/>
      </c>
      <c r="E11" s="41" t="n"/>
      <c r="F11" s="42" t="n"/>
      <c r="G11" s="44" t="n"/>
      <c r="H11" s="41" t="n"/>
      <c r="I11" s="42" t="n"/>
      <c r="J11" s="44" t="n"/>
      <c r="K11" s="117">
        <f>D11+G11+J11</f>
        <v/>
      </c>
      <c r="L11" s="46" t="n"/>
      <c r="M11" s="164" t="n"/>
      <c r="N11" s="164" t="inlineStr">
        <is>
          <t>Tiempo justificado</t>
        </is>
      </c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41" t="inlineStr">
        <is>
          <t>09:53:12</t>
        </is>
      </c>
      <c r="C12" s="159" t="inlineStr">
        <is>
          <t>11:23:00</t>
        </is>
      </c>
      <c r="D12" s="130">
        <f>C12-B12</f>
        <v/>
      </c>
      <c r="E12" s="41" t="inlineStr">
        <is>
          <t>16:00:06</t>
        </is>
      </c>
      <c r="F12" s="42" t="inlineStr">
        <is>
          <t>18:56:59</t>
        </is>
      </c>
      <c r="G12" s="44" t="inlineStr">
        <is>
          <t>02:56:53</t>
        </is>
      </c>
      <c r="H12" s="41" t="n"/>
      <c r="I12" s="42" t="n"/>
      <c r="J12" s="44" t="n"/>
      <c r="K12" s="117">
        <f>D12+G12+J12</f>
        <v/>
      </c>
      <c r="L12" s="46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41" t="inlineStr">
        <is>
          <t>08:24:02</t>
        </is>
      </c>
      <c r="C13" s="49" t="inlineStr">
        <is>
          <t>09:00:47</t>
        </is>
      </c>
      <c r="D13" s="130">
        <f>C13-B13</f>
        <v/>
      </c>
      <c r="E13" s="41" t="inlineStr">
        <is>
          <t>09:57:00</t>
        </is>
      </c>
      <c r="F13" s="49" t="inlineStr">
        <is>
          <t>12:50:45</t>
        </is>
      </c>
      <c r="G13" s="44" t="inlineStr">
        <is>
          <t>02:53:45</t>
        </is>
      </c>
      <c r="H13" s="41" t="inlineStr">
        <is>
          <t>13:03:23</t>
        </is>
      </c>
      <c r="I13" s="49" t="inlineStr">
        <is>
          <t>14:00:13</t>
        </is>
      </c>
      <c r="J13" s="44" t="inlineStr">
        <is>
          <t>00:56:50</t>
        </is>
      </c>
      <c r="K13" s="117">
        <f>D13+G13+J13</f>
        <v/>
      </c>
      <c r="L13" s="46" t="n"/>
      <c r="M13" s="164" t="n"/>
      <c r="N13" s="164" t="inlineStr">
        <is>
          <t>Tiempo justificado</t>
        </is>
      </c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51" t="inlineStr">
        <is>
          <t>09:54:19</t>
        </is>
      </c>
      <c r="C14" s="52" t="inlineStr">
        <is>
          <t>11:38:23</t>
        </is>
      </c>
      <c r="D14" s="136">
        <f>C14-B14</f>
        <v/>
      </c>
      <c r="E14" s="51" t="inlineStr">
        <is>
          <t>15:58:35</t>
        </is>
      </c>
      <c r="F14" s="52" t="inlineStr">
        <is>
          <t>19:02:07</t>
        </is>
      </c>
      <c r="G14" s="48" t="inlineStr">
        <is>
          <t>03:03:32</t>
        </is>
      </c>
      <c r="H14" s="51" t="n"/>
      <c r="I14" s="52" t="n"/>
      <c r="J14" s="48" t="n"/>
      <c r="K14" s="124">
        <f>D14+G14+J14</f>
        <v/>
      </c>
      <c r="L14" s="54" t="n"/>
      <c r="M14" s="164" t="n"/>
      <c r="N14" s="164" t="inlineStr">
        <is>
          <t>Tiempo justificado</t>
        </is>
      </c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138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17:26:19</t>
        </is>
      </c>
      <c r="C17" s="28" t="inlineStr">
        <is>
          <t>19:04:08</t>
        </is>
      </c>
      <c r="D17" s="29" t="inlineStr">
        <is>
          <t>01:37:49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01:37:49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07:30:26</t>
        </is>
      </c>
      <c r="C18" s="42" t="inlineStr">
        <is>
          <t>09:46:54</t>
        </is>
      </c>
      <c r="D18" s="43" t="inlineStr">
        <is>
          <t>02:16:28</t>
        </is>
      </c>
      <c r="E18" s="41" t="inlineStr">
        <is>
          <t>12:38:39</t>
        </is>
      </c>
      <c r="F18" s="42" t="inlineStr">
        <is>
          <t>15:02:13</t>
        </is>
      </c>
      <c r="G18" s="44" t="inlineStr">
        <is>
          <t>02:23:34</t>
        </is>
      </c>
      <c r="H18" s="41" t="n"/>
      <c r="I18" s="42" t="n"/>
      <c r="J18" s="44" t="n"/>
      <c r="K18" s="45" t="inlineStr">
        <is>
          <t>04:40:02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n"/>
      <c r="C19" s="42" t="n"/>
      <c r="D19" s="43" t="n"/>
      <c r="E19" s="41" t="n"/>
      <c r="F19" s="42" t="n"/>
      <c r="G19" s="44" t="n"/>
      <c r="H19" s="41" t="n"/>
      <c r="I19" s="42" t="n"/>
      <c r="J19" s="44" t="n"/>
      <c r="K19" s="45" t="n"/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08:28:26</t>
        </is>
      </c>
      <c r="C20" s="49" t="inlineStr">
        <is>
          <t>12:35:12</t>
        </is>
      </c>
      <c r="D20" s="50" t="inlineStr">
        <is>
          <t>04:06:46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04:06:46</t>
        </is>
      </c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MISAEL RIVERA LÓPEZ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88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64" t="n"/>
      <c r="R2" s="164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n"/>
      <c r="C3" s="176" t="n"/>
      <c r="D3" s="144" t="n"/>
      <c r="E3" s="175" t="n"/>
      <c r="F3" s="176" t="n"/>
      <c r="G3" s="145" t="n"/>
      <c r="H3" s="175" t="n"/>
      <c r="I3" s="176" t="n"/>
      <c r="J3" s="145" t="n"/>
      <c r="K3" s="146" t="n"/>
      <c r="L3" s="110" t="n"/>
      <c r="M3" s="96" t="n"/>
      <c r="N3" s="96" t="n"/>
      <c r="O3" s="96" t="n"/>
      <c r="P3" s="111" t="n">
        <v>6.304988425925926</v>
      </c>
      <c r="Q3" s="164" t="n"/>
      <c r="R3" s="164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15:46:00</t>
        </is>
      </c>
      <c r="C4" s="159" t="inlineStr">
        <is>
          <t>19:51:00</t>
        </is>
      </c>
      <c r="D4" s="149" t="inlineStr">
        <is>
          <t>04:05:00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04:05:00</t>
        </is>
      </c>
      <c r="L4" s="107" t="n"/>
      <c r="M4" s="164" t="n"/>
      <c r="N4" s="164" t="n"/>
      <c r="O4" s="164" t="n"/>
      <c r="P4" s="108" t="n"/>
      <c r="Q4" s="164" t="n"/>
      <c r="R4" s="164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10:06:00</t>
        </is>
      </c>
      <c r="C5" s="159" t="inlineStr">
        <is>
          <t>11:20:00</t>
        </is>
      </c>
      <c r="D5" s="149" t="inlineStr">
        <is>
          <t>01:14:00</t>
        </is>
      </c>
      <c r="E5" s="147" t="inlineStr">
        <is>
          <t>15:58:00</t>
        </is>
      </c>
      <c r="F5" s="159" t="inlineStr">
        <is>
          <t>19:51:00</t>
        </is>
      </c>
      <c r="G5" s="150" t="inlineStr">
        <is>
          <t>03:53:00</t>
        </is>
      </c>
      <c r="H5" s="147" t="n"/>
      <c r="I5" s="159" t="n"/>
      <c r="J5" s="150" t="n"/>
      <c r="K5" s="151" t="inlineStr">
        <is>
          <t>05:07:00</t>
        </is>
      </c>
      <c r="L5" s="107" t="n"/>
      <c r="M5" s="164" t="n"/>
      <c r="N5" s="164" t="n"/>
      <c r="O5" s="164" t="n"/>
      <c r="P5" s="108" t="n"/>
      <c r="Q5" s="164" t="n"/>
      <c r="R5" s="164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13:16:00</t>
        </is>
      </c>
      <c r="C6" s="152" t="inlineStr">
        <is>
          <t>14:19:00</t>
        </is>
      </c>
      <c r="D6" s="153" t="inlineStr">
        <is>
          <t>01:03:00</t>
        </is>
      </c>
      <c r="E6" s="147" t="inlineStr">
        <is>
          <t>15:59:00</t>
        </is>
      </c>
      <c r="F6" s="152" t="inlineStr">
        <is>
          <t>19:52:00</t>
        </is>
      </c>
      <c r="G6" s="150" t="inlineStr">
        <is>
          <t>03:53:00</t>
        </is>
      </c>
      <c r="H6" s="147" t="n"/>
      <c r="I6" s="152" t="n"/>
      <c r="J6" s="150" t="n"/>
      <c r="K6" s="151" t="inlineStr">
        <is>
          <t>04:56:00</t>
        </is>
      </c>
      <c r="L6" s="107" t="n"/>
      <c r="M6" s="164" t="n"/>
      <c r="N6" s="164" t="n"/>
      <c r="O6" s="164" t="n"/>
      <c r="P6" s="108" t="n"/>
      <c r="Q6" s="164" t="n"/>
      <c r="R6" s="164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12:42:00</t>
        </is>
      </c>
      <c r="C7" s="155" t="inlineStr">
        <is>
          <t>13:55:00</t>
        </is>
      </c>
      <c r="D7" s="108" t="inlineStr">
        <is>
          <t>01:13:00</t>
        </is>
      </c>
      <c r="E7" s="154" t="inlineStr">
        <is>
          <t>15:58:00</t>
        </is>
      </c>
      <c r="F7" s="155" t="inlineStr">
        <is>
          <t>20:04:00</t>
        </is>
      </c>
      <c r="G7" s="108" t="inlineStr">
        <is>
          <t>04:06:00</t>
        </is>
      </c>
      <c r="H7" s="154" t="n"/>
      <c r="I7" s="155" t="n"/>
      <c r="J7" s="108" t="n"/>
      <c r="K7" s="156" t="inlineStr">
        <is>
          <t>05:19:00</t>
        </is>
      </c>
      <c r="L7" s="120" t="n"/>
      <c r="M7" s="164" t="n"/>
      <c r="N7" s="164" t="n"/>
      <c r="O7" s="164" t="n"/>
      <c r="P7" s="108" t="n"/>
      <c r="Q7" s="164" t="n"/>
      <c r="R7" s="164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64" t="n"/>
      <c r="R8" s="164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119" t="n"/>
      <c r="L9" s="122" t="n"/>
      <c r="M9" s="123" t="n"/>
      <c r="N9" s="123" t="n"/>
      <c r="O9" s="123" t="n"/>
      <c r="P9" s="125">
        <f>SUMPRODUCT(VALUE(K3:K7))-(SUM(L3:L7))</f>
        <v/>
      </c>
      <c r="Q9" s="164" t="n"/>
      <c r="R9" s="164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26" t="inlineStr">
        <is>
          <t>16:03:49</t>
        </is>
      </c>
      <c r="C10" s="28" t="inlineStr">
        <is>
          <t>20:06:39</t>
        </is>
      </c>
      <c r="D10" s="97">
        <f>C10-B10</f>
        <v/>
      </c>
      <c r="E10" s="26" t="n"/>
      <c r="F10" s="28" t="n"/>
      <c r="G10" s="31" t="n"/>
      <c r="H10" s="26" t="n"/>
      <c r="I10" s="28" t="n"/>
      <c r="J10" s="165" t="n"/>
      <c r="K10" s="166">
        <f>D10+G10+J10</f>
        <v/>
      </c>
      <c r="L10" s="167" t="n"/>
      <c r="M10" s="34" t="n"/>
      <c r="N10" s="34" t="n"/>
      <c r="O10" s="34" t="n"/>
      <c r="P10" s="72" t="n"/>
      <c r="Q10" s="164" t="n"/>
      <c r="R10" s="164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41" t="inlineStr">
        <is>
          <t>16:06:55</t>
        </is>
      </c>
      <c r="C11" s="42" t="inlineStr">
        <is>
          <t>20:06:39</t>
        </is>
      </c>
      <c r="D11" s="130">
        <f>C11-B11</f>
        <v/>
      </c>
      <c r="E11" s="41" t="n"/>
      <c r="F11" s="42" t="n"/>
      <c r="G11" s="44" t="n"/>
      <c r="H11" s="41" t="n"/>
      <c r="I11" s="42" t="n"/>
      <c r="J11" s="168" t="n"/>
      <c r="K11" s="169">
        <f>D11+G11+J11</f>
        <v/>
      </c>
      <c r="L11" s="170" t="n"/>
      <c r="M11" s="164" t="n"/>
      <c r="N11" s="164" t="n"/>
      <c r="O11" s="164" t="n"/>
      <c r="P11" s="48" t="n"/>
      <c r="Q11" s="164" t="n"/>
      <c r="R11" s="164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41" t="inlineStr">
        <is>
          <t>16:07:30</t>
        </is>
      </c>
      <c r="C12" s="42" t="inlineStr">
        <is>
          <t>20:06:36</t>
        </is>
      </c>
      <c r="D12" s="130">
        <f>C12-B12</f>
        <v/>
      </c>
      <c r="E12" s="41" t="n"/>
      <c r="F12" s="42" t="n"/>
      <c r="G12" s="44" t="n"/>
      <c r="H12" s="41" t="n"/>
      <c r="I12" s="42" t="n"/>
      <c r="J12" s="168" t="n"/>
      <c r="K12" s="169">
        <f>D12+G12+J12</f>
        <v/>
      </c>
      <c r="L12" s="170" t="n"/>
      <c r="M12" s="164" t="n"/>
      <c r="N12" s="164" t="n"/>
      <c r="O12" s="164" t="n"/>
      <c r="P12" s="48" t="n"/>
      <c r="Q12" s="164" t="n"/>
      <c r="R12" s="164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41" t="inlineStr">
        <is>
          <t>16:07:30</t>
        </is>
      </c>
      <c r="C13" s="42" t="inlineStr">
        <is>
          <t>20:06:36</t>
        </is>
      </c>
      <c r="D13" s="130">
        <f>C13-B13</f>
        <v/>
      </c>
      <c r="E13" s="41" t="n"/>
      <c r="F13" s="49" t="n"/>
      <c r="G13" s="44" t="n"/>
      <c r="H13" s="41" t="n"/>
      <c r="I13" s="49" t="n"/>
      <c r="J13" s="168" t="n"/>
      <c r="K13" s="169">
        <f>D13+G13+J13</f>
        <v/>
      </c>
      <c r="L13" s="170" t="n"/>
      <c r="M13" s="164" t="n"/>
      <c r="N13" s="164" t="n"/>
      <c r="O13" s="164" t="n"/>
      <c r="P13" s="48" t="n"/>
      <c r="Q13" s="164" t="n"/>
      <c r="R13" s="164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51" t="inlineStr">
        <is>
          <t>16:02:55</t>
        </is>
      </c>
      <c r="C14" s="52" t="inlineStr">
        <is>
          <t>20:01:18</t>
        </is>
      </c>
      <c r="D14" s="136">
        <f>C14-B14</f>
        <v/>
      </c>
      <c r="E14" s="51" t="n"/>
      <c r="F14" s="52" t="n"/>
      <c r="G14" s="48" t="n"/>
      <c r="H14" s="51" t="n"/>
      <c r="I14" s="52" t="n"/>
      <c r="J14" s="141" t="n"/>
      <c r="K14" s="169">
        <f>D14+G14+J14</f>
        <v/>
      </c>
      <c r="L14" s="141" t="n"/>
      <c r="M14" s="164" t="n"/>
      <c r="N14" s="164" t="n"/>
      <c r="O14" s="164" t="n"/>
      <c r="P14" s="48" t="n"/>
      <c r="Q14" s="164" t="n"/>
      <c r="R14" s="164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7" t="n"/>
      <c r="K15" s="171" t="n"/>
      <c r="L15" s="141" t="n"/>
      <c r="M15" s="164" t="n"/>
      <c r="N15" s="164" t="n"/>
      <c r="O15" s="164" t="n"/>
      <c r="P15" s="48" t="n"/>
      <c r="Q15" s="164" t="n"/>
      <c r="R15" s="164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64" t="n"/>
      <c r="R16" s="164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15:57:59</t>
        </is>
      </c>
      <c r="C17" s="28" t="inlineStr">
        <is>
          <t>20:06:56</t>
        </is>
      </c>
      <c r="D17" s="29" t="inlineStr">
        <is>
          <t>04:08:57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04:08:57</t>
        </is>
      </c>
      <c r="L17" s="39" t="n"/>
      <c r="M17" s="34" t="n"/>
      <c r="N17" s="34" t="n"/>
      <c r="O17" s="34" t="n"/>
      <c r="P17" s="72" t="n"/>
      <c r="Q17" s="164" t="n"/>
      <c r="R17" s="164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16:09:34</t>
        </is>
      </c>
      <c r="C18" s="42" t="inlineStr">
        <is>
          <t>20:07:31</t>
        </is>
      </c>
      <c r="D18" s="43" t="inlineStr">
        <is>
          <t>03:57:57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03:57:57</t>
        </is>
      </c>
      <c r="L18" s="46" t="n"/>
      <c r="M18" s="164" t="n"/>
      <c r="N18" s="164" t="n"/>
      <c r="O18" s="164" t="n"/>
      <c r="P18" s="48" t="n"/>
      <c r="Q18" s="164" t="n"/>
      <c r="R18" s="164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n"/>
      <c r="C19" s="42" t="n"/>
      <c r="D19" s="43" t="n"/>
      <c r="E19" s="41" t="n"/>
      <c r="F19" s="42" t="n"/>
      <c r="G19" s="44" t="n"/>
      <c r="H19" s="41" t="n"/>
      <c r="I19" s="42" t="n"/>
      <c r="J19" s="44" t="n"/>
      <c r="K19" s="45" t="n"/>
      <c r="L19" s="46" t="n"/>
      <c r="M19" s="164" t="n"/>
      <c r="N19" s="164" t="n"/>
      <c r="O19" s="164" t="n"/>
      <c r="P19" s="48" t="n"/>
      <c r="Q19" s="164" t="n"/>
      <c r="R19" s="164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n"/>
      <c r="C20" s="49" t="n"/>
      <c r="D20" s="50" t="n"/>
      <c r="E20" s="41" t="n"/>
      <c r="F20" s="49" t="n"/>
      <c r="G20" s="44" t="n"/>
      <c r="H20" s="41" t="n"/>
      <c r="I20" s="49" t="n"/>
      <c r="J20" s="44" t="n"/>
      <c r="K20" s="45" t="n"/>
      <c r="L20" s="46" t="n"/>
      <c r="M20" s="164" t="n"/>
      <c r="N20" s="164" t="n"/>
      <c r="O20" s="164" t="n"/>
      <c r="P20" s="48" t="n"/>
      <c r="Q20" s="164" t="n"/>
      <c r="R20" s="164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64" t="n"/>
      <c r="R21" s="164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64" t="n"/>
      <c r="R22" s="164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64" t="n"/>
      <c r="R23" s="164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64" t="n"/>
      <c r="R24" s="164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64" t="n"/>
      <c r="R25" s="164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64" t="n"/>
      <c r="R26" s="164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64" t="n"/>
      <c r="R27" s="164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64" t="n"/>
      <c r="R28" s="164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64" t="n"/>
      <c r="R29" s="164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64" t="n"/>
      <c r="R30" s="164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64" t="n"/>
      <c r="R31" s="164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64" t="n"/>
      <c r="R32" s="164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64" t="n"/>
      <c r="R33" s="164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64" t="n"/>
      <c r="R34" s="164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64" t="n"/>
      <c r="R35" s="164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64" t="n"/>
      <c r="R36" s="164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64" t="n"/>
      <c r="R37" s="164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64" t="n"/>
      <c r="R38" s="164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64" t="n"/>
      <c r="R39" s="164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64" t="n"/>
      <c r="R40" s="164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64" t="n"/>
      <c r="R41" s="164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64" t="n"/>
      <c r="R42" s="164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64" t="n"/>
      <c r="R43" s="16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64" t="n"/>
      <c r="R44" s="164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64" t="n"/>
      <c r="R45" s="164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64" t="n"/>
      <c r="R46" s="164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64" t="n"/>
      <c r="R47" s="164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64" t="n"/>
      <c r="R48" s="164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64" t="n"/>
      <c r="R49" s="164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64" t="n"/>
      <c r="R50" s="164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64" t="n"/>
      <c r="R51" s="164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64" t="n"/>
      <c r="R52" s="164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64" t="n"/>
      <c r="R53" s="164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64" t="n"/>
      <c r="R54" s="164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64" t="n"/>
      <c r="R55" s="164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64" t="n"/>
      <c r="R56" s="164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64" t="n"/>
      <c r="R57" s="164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64" t="n"/>
      <c r="R58" s="164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64" t="n"/>
      <c r="R59" s="164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64" t="n"/>
      <c r="R60" s="164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64" t="n"/>
      <c r="R61" s="164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64" t="n"/>
      <c r="R62" s="164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64" t="n"/>
      <c r="R63" s="164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64" t="n"/>
      <c r="R64" s="164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64" t="n"/>
      <c r="R65" s="164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64" t="n"/>
      <c r="R66" s="164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64" t="n"/>
      <c r="R67" s="164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64" t="n"/>
      <c r="R68" s="164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64" t="n"/>
      <c r="R69" s="164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64" t="n"/>
      <c r="R70" s="164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64" t="n"/>
      <c r="R71" s="164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64" t="n"/>
      <c r="R72" s="164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64" t="n"/>
      <c r="R73" s="164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64" t="n"/>
      <c r="R74" s="164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64" t="n"/>
      <c r="R75" s="164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64" t="n"/>
      <c r="R76" s="164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64" t="n"/>
      <c r="R77" s="164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64" t="n"/>
      <c r="R78" s="164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64" t="n"/>
      <c r="R79" s="164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64" t="n"/>
      <c r="R80" s="164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64" t="n"/>
      <c r="R81" s="164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64" t="n"/>
      <c r="R82" s="164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64" t="n"/>
      <c r="R83" s="164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64" t="n"/>
      <c r="R84" s="164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64" t="n"/>
      <c r="R85" s="164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64" t="n"/>
      <c r="R86" s="164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64" t="n"/>
      <c r="R87" s="164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64" t="n"/>
      <c r="R88" s="164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64" t="n"/>
      <c r="R89" s="164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64" t="n"/>
      <c r="R90" s="164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64" t="n"/>
      <c r="R91" s="164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64" t="n"/>
      <c r="R92" s="164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64" t="n"/>
      <c r="R93" s="164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64" t="n"/>
      <c r="R94" s="164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64" t="n"/>
      <c r="R95" s="164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64" t="n"/>
      <c r="R96" s="164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64" t="n"/>
      <c r="R97" s="164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64" t="n"/>
      <c r="R98" s="164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64" t="n"/>
      <c r="R99" s="164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64" t="n"/>
      <c r="R100" s="164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64" t="n"/>
      <c r="R101" s="164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64" t="n"/>
      <c r="R102" s="164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64" t="n"/>
      <c r="R103" s="164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64" t="n"/>
      <c r="R104" s="164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64" t="n"/>
      <c r="R105" s="164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64" t="n"/>
      <c r="R106" s="164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64" t="n"/>
      <c r="R107" s="164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64" t="n"/>
      <c r="R108" s="164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64" t="n"/>
      <c r="R109" s="164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64" t="n"/>
      <c r="R110" s="164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64" t="n"/>
      <c r="R111" s="164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64" t="n"/>
      <c r="R112" s="164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64" t="n"/>
      <c r="R113" s="164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64" t="n"/>
      <c r="R114" s="164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64" t="n"/>
      <c r="R115" s="164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64" t="n"/>
      <c r="R116" s="164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64" t="n"/>
      <c r="R117" s="164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64" t="n"/>
      <c r="R118" s="164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64" t="n"/>
      <c r="R119" s="164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64" t="n"/>
      <c r="R120" s="164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64" t="n"/>
      <c r="R121" s="164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64" t="n"/>
      <c r="R122" s="164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64" t="n"/>
      <c r="R123" s="164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64" t="n"/>
      <c r="R124" s="164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64" t="n"/>
      <c r="R125" s="164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64" t="n"/>
      <c r="R126" s="164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64" t="n"/>
      <c r="R127" s="164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64" t="n"/>
      <c r="R128" s="164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64" t="n"/>
      <c r="R129" s="164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64" t="n"/>
      <c r="R130" s="164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64" t="n"/>
      <c r="R131" s="164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64" t="n"/>
      <c r="R132" s="164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64" t="n"/>
      <c r="R133" s="164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64" t="n"/>
      <c r="R134" s="164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64" t="n"/>
      <c r="R135" s="164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64" t="n"/>
      <c r="R136" s="164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64" t="n"/>
      <c r="R137" s="164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64" t="n"/>
      <c r="R138" s="164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64" t="n"/>
      <c r="R139" s="164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64" t="n"/>
      <c r="R140" s="164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64" t="n"/>
      <c r="R141" s="164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64" t="n"/>
      <c r="R142" s="164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64" t="n"/>
      <c r="R143" s="164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64" t="n"/>
      <c r="R144" s="164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64" t="n"/>
      <c r="R145" s="164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64" t="n"/>
      <c r="R146" s="164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64" t="n"/>
      <c r="R147" s="164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64" t="n"/>
      <c r="R148" s="164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64" t="n"/>
      <c r="R149" s="164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64" t="n"/>
      <c r="R150" s="164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64" t="n"/>
      <c r="R151" s="164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64" t="n"/>
      <c r="R152" s="164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64" t="n"/>
      <c r="R153" s="164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64" t="n"/>
      <c r="R154" s="164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64" t="n"/>
      <c r="R155" s="164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64" t="n"/>
      <c r="R156" s="164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64" t="n"/>
      <c r="R157" s="164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64" t="n"/>
      <c r="R158" s="164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64" t="n"/>
      <c r="R159" s="164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64" t="n"/>
      <c r="R160" s="164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64" t="n"/>
      <c r="R161" s="164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64" t="n"/>
      <c r="R162" s="164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64" t="n"/>
      <c r="R163" s="164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64" t="n"/>
      <c r="R164" s="164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64" t="n"/>
      <c r="R165" s="164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64" t="n"/>
      <c r="R166" s="164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64" t="n"/>
      <c r="R167" s="164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64" t="n"/>
      <c r="R168" s="164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64" t="n"/>
      <c r="R169" s="164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64" t="n"/>
      <c r="R170" s="164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64" t="n"/>
      <c r="R171" s="164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64" t="n"/>
      <c r="R172" s="164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64" t="n"/>
      <c r="R173" s="164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64" t="n"/>
      <c r="R174" s="164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64" t="n"/>
      <c r="R175" s="164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64" t="n"/>
      <c r="R176" s="164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64" t="n"/>
      <c r="R177" s="164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64" t="n"/>
      <c r="R178" s="164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64" t="n"/>
      <c r="R179" s="164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64" t="n"/>
      <c r="R180" s="164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64" t="n"/>
      <c r="R181" s="164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64" t="n"/>
      <c r="R182" s="164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64" t="n"/>
      <c r="R183" s="164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64" t="n"/>
      <c r="R184" s="164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64" t="n"/>
      <c r="R185" s="164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64" t="n"/>
      <c r="R186" s="164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64" t="n"/>
      <c r="R187" s="164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64" t="n"/>
      <c r="R188" s="164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64" t="n"/>
      <c r="R189" s="164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64" t="n"/>
      <c r="R190" s="164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64" t="n"/>
      <c r="R191" s="164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64" t="n"/>
      <c r="R192" s="164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64" t="n"/>
      <c r="R193" s="164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64" t="n"/>
      <c r="R194" s="164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64" t="n"/>
      <c r="R195" s="164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64" t="n"/>
      <c r="R196" s="164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64" t="n"/>
      <c r="R197" s="164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64" t="n"/>
      <c r="R198" s="164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64" t="n"/>
      <c r="R199" s="164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64" t="n"/>
      <c r="R200" s="164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64" t="n"/>
      <c r="R201" s="164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64" t="n"/>
      <c r="R202" s="164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64" t="n"/>
      <c r="R203" s="164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64" t="n"/>
      <c r="R204" s="164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64" t="n"/>
      <c r="R205" s="164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64" t="n"/>
      <c r="R206" s="164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64" t="n"/>
      <c r="R207" s="164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64" t="n"/>
      <c r="R208" s="164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64" t="n"/>
      <c r="R209" s="164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64" t="n"/>
      <c r="R210" s="164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64" t="n"/>
      <c r="R211" s="164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64" t="n"/>
      <c r="R212" s="164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64" t="n"/>
      <c r="R213" s="164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64" t="n"/>
      <c r="R214" s="164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64" t="n"/>
      <c r="R215" s="164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64" t="n"/>
      <c r="R216" s="164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64" t="n"/>
      <c r="R217" s="164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64" t="n"/>
      <c r="R218" s="164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64" t="n"/>
      <c r="R219" s="164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64" t="n"/>
      <c r="R220" s="164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64" t="n"/>
      <c r="R221" s="164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64" t="n"/>
      <c r="R222" s="164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64" t="n"/>
      <c r="R223" s="164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64" t="n"/>
      <c r="R224" s="164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64" t="n"/>
      <c r="R225" s="164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64" t="n"/>
      <c r="R226" s="164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64" t="n"/>
      <c r="R227" s="164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64" t="n"/>
      <c r="R228" s="164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64" t="n"/>
      <c r="R229" s="164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64" t="n"/>
      <c r="R230" s="164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64" t="n"/>
      <c r="R231" s="164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64" t="n"/>
      <c r="R232" s="164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64" t="n"/>
      <c r="R233" s="164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64" t="n"/>
      <c r="R234" s="164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64" t="n"/>
      <c r="R235" s="164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64" t="n"/>
      <c r="R236" s="164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64" t="n"/>
      <c r="R237" s="164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64" t="n"/>
      <c r="R238" s="164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64" t="n"/>
      <c r="R239" s="164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64" t="n"/>
      <c r="R240" s="164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64" t="n"/>
      <c r="R241" s="164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64" t="n"/>
      <c r="R242" s="164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64" t="n"/>
      <c r="R243" s="164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64" t="n"/>
      <c r="R244" s="164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64" t="n"/>
      <c r="R245" s="164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64" t="n"/>
      <c r="R246" s="164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64" t="n"/>
      <c r="R247" s="164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64" t="n"/>
      <c r="R248" s="164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64" t="n"/>
      <c r="R249" s="164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64" t="n"/>
      <c r="R250" s="164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64" t="n"/>
      <c r="R251" s="164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64" t="n"/>
      <c r="R252" s="164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64" t="n"/>
      <c r="R253" s="164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64" t="n"/>
      <c r="R254" s="164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64" t="n"/>
      <c r="R255" s="164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64" t="n"/>
      <c r="R256" s="164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64" t="n"/>
      <c r="R257" s="164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64" t="n"/>
      <c r="R258" s="164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64" t="n"/>
      <c r="R259" s="164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64" t="n"/>
      <c r="R260" s="164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64" t="n"/>
      <c r="R261" s="164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64" t="n"/>
      <c r="R262" s="164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64" t="n"/>
      <c r="R263" s="164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64" t="n"/>
      <c r="R264" s="164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64" t="n"/>
      <c r="R265" s="164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64" t="n"/>
      <c r="R266" s="164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64" t="n"/>
      <c r="R267" s="164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64" t="n"/>
      <c r="R268" s="164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64" t="n"/>
      <c r="R269" s="164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64" t="n"/>
      <c r="R270" s="164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64" t="n"/>
      <c r="R271" s="164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64" t="n"/>
      <c r="R272" s="164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64" t="n"/>
      <c r="R273" s="164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64" t="n"/>
      <c r="R274" s="164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64" t="n"/>
      <c r="R275" s="164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64" t="n"/>
      <c r="R276" s="164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64" t="n"/>
      <c r="R277" s="164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64" t="n"/>
      <c r="R278" s="164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64" t="n"/>
      <c r="R279" s="164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64" t="n"/>
      <c r="R280" s="164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64" t="n"/>
      <c r="R281" s="164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64" t="n"/>
      <c r="R282" s="164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64" t="n"/>
      <c r="R283" s="164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64" t="n"/>
      <c r="R284" s="164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64" t="n"/>
      <c r="R285" s="164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64" t="n"/>
      <c r="R286" s="164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64" t="n"/>
      <c r="R287" s="164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64" t="n"/>
      <c r="R288" s="164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64" t="n"/>
      <c r="R289" s="164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64" t="n"/>
      <c r="R290" s="164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64" t="n"/>
      <c r="R291" s="164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64" t="n"/>
      <c r="R292" s="164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64" t="n"/>
      <c r="R293" s="164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64" t="n"/>
      <c r="R294" s="164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64" t="n"/>
      <c r="R295" s="164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64" t="n"/>
      <c r="R296" s="164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64" t="n"/>
      <c r="R297" s="164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64" t="n"/>
      <c r="R298" s="164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64" t="n"/>
      <c r="R299" s="164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64" t="n"/>
      <c r="R300" s="164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64" t="n"/>
      <c r="R301" s="164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64" t="n"/>
      <c r="R302" s="164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64" t="n"/>
      <c r="R303" s="164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41" t="n"/>
    </row>
    <row r="503" ht="15.75" customHeight="1" s="177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4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RAFAEL EDUARDO LAGUNAS GÓMEZ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20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175" t="inlineStr">
        <is>
          <t>09:32:00</t>
        </is>
      </c>
      <c r="C3" s="176" t="inlineStr">
        <is>
          <t>13:55:00</t>
        </is>
      </c>
      <c r="D3" s="144" t="inlineStr">
        <is>
          <t>04:23:00</t>
        </is>
      </c>
      <c r="E3" s="175" t="n"/>
      <c r="F3" s="176" t="n"/>
      <c r="G3" s="145" t="n"/>
      <c r="H3" s="175" t="n"/>
      <c r="I3" s="176" t="n"/>
      <c r="J3" s="145" t="n"/>
      <c r="K3" s="146" t="inlineStr">
        <is>
          <t>04:23:00</t>
        </is>
      </c>
      <c r="L3" s="172" t="n">
        <v>0.01597222222222222</v>
      </c>
      <c r="M3" s="96" t="n"/>
      <c r="N3" s="96" t="n"/>
      <c r="O3" s="96" t="n"/>
      <c r="P3" s="111" t="n">
        <v>11.38952546296296</v>
      </c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147" t="inlineStr">
        <is>
          <t>09:51:00</t>
        </is>
      </c>
      <c r="C4" s="159" t="inlineStr">
        <is>
          <t>13:53:00</t>
        </is>
      </c>
      <c r="D4" s="149" t="inlineStr">
        <is>
          <t>04:02:00</t>
        </is>
      </c>
      <c r="E4" s="147" t="n"/>
      <c r="F4" s="159" t="n"/>
      <c r="G4" s="150" t="n"/>
      <c r="H4" s="147" t="n"/>
      <c r="I4" s="159" t="n"/>
      <c r="J4" s="150" t="n"/>
      <c r="K4" s="151" t="inlineStr">
        <is>
          <t>04:02:00</t>
        </is>
      </c>
      <c r="L4" s="173" t="n">
        <v>0.001388888888888889</v>
      </c>
      <c r="M4" s="164" t="n"/>
      <c r="N4" s="164" t="n"/>
      <c r="O4" s="164" t="n"/>
      <c r="P4" s="108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147" t="inlineStr">
        <is>
          <t>09:25:00</t>
        </is>
      </c>
      <c r="C5" s="159" t="inlineStr">
        <is>
          <t>14:17:00</t>
        </is>
      </c>
      <c r="D5" s="149" t="inlineStr">
        <is>
          <t>04:52:00</t>
        </is>
      </c>
      <c r="E5" s="147" t="n"/>
      <c r="F5" s="159" t="n"/>
      <c r="G5" s="150" t="n"/>
      <c r="H5" s="147" t="n"/>
      <c r="I5" s="159" t="n"/>
      <c r="J5" s="150" t="n"/>
      <c r="K5" s="151" t="inlineStr">
        <is>
          <t>04:52:00</t>
        </is>
      </c>
      <c r="L5" s="107" t="n"/>
      <c r="M5" s="164" t="n"/>
      <c r="N5" s="164" t="n"/>
      <c r="O5" s="164" t="n"/>
      <c r="P5" s="108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147" t="inlineStr">
        <is>
          <t>07:04:00</t>
        </is>
      </c>
      <c r="C6" s="152" t="inlineStr">
        <is>
          <t>11:04:00</t>
        </is>
      </c>
      <c r="D6" s="153" t="inlineStr">
        <is>
          <t>04:00:00</t>
        </is>
      </c>
      <c r="E6" s="147" t="n"/>
      <c r="F6" s="152" t="n"/>
      <c r="G6" s="150" t="n"/>
      <c r="H6" s="147" t="n"/>
      <c r="I6" s="152" t="n"/>
      <c r="J6" s="150" t="n"/>
      <c r="K6" s="151" t="inlineStr">
        <is>
          <t>04:00:00</t>
        </is>
      </c>
      <c r="L6" s="107" t="n"/>
      <c r="M6" s="164" t="n"/>
      <c r="N6" s="164" t="n"/>
      <c r="O6" s="164" t="n"/>
      <c r="P6" s="108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154" t="inlineStr">
        <is>
          <t>09:41:00</t>
        </is>
      </c>
      <c r="C7" s="155" t="inlineStr">
        <is>
          <t>13:51:00</t>
        </is>
      </c>
      <c r="D7" s="108" t="inlineStr">
        <is>
          <t>04:10:00</t>
        </is>
      </c>
      <c r="E7" s="154" t="n"/>
      <c r="F7" s="155" t="n"/>
      <c r="G7" s="108" t="n"/>
      <c r="H7" s="154" t="n"/>
      <c r="I7" s="155" t="n"/>
      <c r="J7" s="108" t="n"/>
      <c r="K7" s="156" t="inlineStr">
        <is>
          <t>04:10:00</t>
        </is>
      </c>
      <c r="L7" s="174" t="n">
        <v>0.006944444444444444</v>
      </c>
      <c r="M7" s="164" t="n"/>
      <c r="N7" s="164" t="n"/>
      <c r="O7" s="164" t="n"/>
      <c r="P7" s="10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120" t="n"/>
      <c r="M8" s="164" t="n"/>
      <c r="N8" s="164" t="n"/>
      <c r="O8" s="164" t="n"/>
      <c r="P8" s="10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122" t="n"/>
      <c r="M9" s="123" t="n"/>
      <c r="N9" s="123" t="n"/>
      <c r="O9" s="123" t="n"/>
      <c r="P9" s="125">
        <f>SUMPRODUCT(VALUE(K3:K7))-(SUM(L3:L7))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inlineStr">
        <is>
          <t>09:46:00</t>
        </is>
      </c>
      <c r="C10" s="176" t="inlineStr">
        <is>
          <t>14:04:28</t>
        </is>
      </c>
      <c r="D10" s="144" t="inlineStr">
        <is>
          <t>04:18:28</t>
        </is>
      </c>
      <c r="E10" s="175" t="n"/>
      <c r="F10" s="176" t="n"/>
      <c r="G10" s="145" t="n"/>
      <c r="H10" s="175" t="n"/>
      <c r="I10" s="176" t="n"/>
      <c r="J10" s="145" t="n"/>
      <c r="K10" s="146" t="inlineStr">
        <is>
          <t>04:18:28</t>
        </is>
      </c>
      <c r="L10" s="172" t="n">
        <v>0.01282407407407407</v>
      </c>
      <c r="M10" s="34" t="n"/>
      <c r="N10" s="34" t="n"/>
      <c r="O10" s="34" t="n"/>
      <c r="P10" s="72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inlineStr">
        <is>
          <t>09:33:47</t>
        </is>
      </c>
      <c r="C11" s="159" t="inlineStr">
        <is>
          <t>14:00:24</t>
        </is>
      </c>
      <c r="D11" s="149" t="inlineStr">
        <is>
          <t>04:26:37</t>
        </is>
      </c>
      <c r="E11" s="147" t="n"/>
      <c r="F11" s="159" t="n"/>
      <c r="G11" s="150" t="n"/>
      <c r="H11" s="147" t="n"/>
      <c r="I11" s="159" t="n"/>
      <c r="J11" s="150" t="n"/>
      <c r="K11" s="151" t="inlineStr">
        <is>
          <t>04:26:37</t>
        </is>
      </c>
      <c r="L11" s="173" t="n">
        <v>0.0184837962962963</v>
      </c>
      <c r="M11" s="164" t="n"/>
      <c r="N11" s="164" t="n"/>
      <c r="O11" s="164" t="n"/>
      <c r="P11" s="4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09:29:52</t>
        </is>
      </c>
      <c r="C12" s="159" t="inlineStr">
        <is>
          <t>14:05:56</t>
        </is>
      </c>
      <c r="D12" s="149" t="inlineStr">
        <is>
          <t>04:36:04</t>
        </is>
      </c>
      <c r="E12" s="147" t="n"/>
      <c r="F12" s="159" t="n"/>
      <c r="G12" s="150" t="n"/>
      <c r="H12" s="147" t="n"/>
      <c r="I12" s="159" t="n"/>
      <c r="J12" s="150" t="n"/>
      <c r="K12" s="151" t="inlineStr">
        <is>
          <t>04:36:04</t>
        </is>
      </c>
      <c r="L12" s="173" t="n">
        <v>0.0250462962962963</v>
      </c>
      <c r="M12" s="164" t="n"/>
      <c r="N12" s="164" t="n"/>
      <c r="O12" s="164" t="n"/>
      <c r="P12" s="48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inlineStr">
        <is>
          <t>06:58:52</t>
        </is>
      </c>
      <c r="C13" s="152" t="inlineStr">
        <is>
          <t>11:01:50</t>
        </is>
      </c>
      <c r="D13" s="153" t="inlineStr">
        <is>
          <t>04:02:58</t>
        </is>
      </c>
      <c r="E13" s="147" t="n"/>
      <c r="F13" s="152" t="n"/>
      <c r="G13" s="150" t="n"/>
      <c r="H13" s="147" t="n"/>
      <c r="I13" s="152" t="n"/>
      <c r="J13" s="150" t="n"/>
      <c r="K13" s="151" t="inlineStr">
        <is>
          <t>04:02:58</t>
        </is>
      </c>
      <c r="L13" s="173" t="n">
        <v>0.002060185185185185</v>
      </c>
      <c r="M13" s="164" t="n"/>
      <c r="N13" s="164" t="n"/>
      <c r="O13" s="164" t="n"/>
      <c r="P13" s="48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09:41:32</t>
        </is>
      </c>
      <c r="C14" s="155" t="inlineStr">
        <is>
          <t>14:16:53</t>
        </is>
      </c>
      <c r="D14" s="108" t="inlineStr">
        <is>
          <t>04:35:21</t>
        </is>
      </c>
      <c r="E14" s="154" t="n"/>
      <c r="F14" s="155" t="n"/>
      <c r="G14" s="108" t="n"/>
      <c r="H14" s="154" t="n"/>
      <c r="I14" s="155" t="n"/>
      <c r="J14" s="108" t="n"/>
      <c r="K14" s="156" t="inlineStr">
        <is>
          <t>04:35:21</t>
        </is>
      </c>
      <c r="L14" s="174" t="n">
        <v>0.02454861111111111</v>
      </c>
      <c r="M14" s="164" t="n"/>
      <c r="N14" s="164" t="n"/>
      <c r="O14" s="164" t="n"/>
      <c r="P14" s="48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09:28:29</t>
        </is>
      </c>
      <c r="C17" s="28" t="inlineStr">
        <is>
          <t>14:05:30</t>
        </is>
      </c>
      <c r="D17" s="29" t="inlineStr">
        <is>
          <t>04:37:01</t>
        </is>
      </c>
      <c r="E17" s="26" t="n"/>
      <c r="F17" s="28" t="n"/>
      <c r="G17" s="31" t="n"/>
      <c r="H17" s="26" t="n"/>
      <c r="I17" s="28" t="n"/>
      <c r="J17" s="31" t="n"/>
      <c r="K17" s="38" t="inlineStr">
        <is>
          <t>04:37:01</t>
        </is>
      </c>
      <c r="L17" s="39" t="n"/>
      <c r="M17" s="34" t="n"/>
      <c r="N17" s="34" t="n"/>
      <c r="O17" s="34" t="n"/>
      <c r="P17" s="72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09:26:31</t>
        </is>
      </c>
      <c r="C18" s="42" t="inlineStr">
        <is>
          <t>14:03:11</t>
        </is>
      </c>
      <c r="D18" s="43" t="inlineStr">
        <is>
          <t>04:36:40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04:36:40</t>
        </is>
      </c>
      <c r="L18" s="46" t="n"/>
      <c r="M18" s="164" t="n"/>
      <c r="N18" s="164" t="n"/>
      <c r="O18" s="164" t="n"/>
      <c r="P18" s="48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10:05:03</t>
        </is>
      </c>
      <c r="C19" s="42" t="inlineStr">
        <is>
          <t>14:15:13</t>
        </is>
      </c>
      <c r="D19" s="43" t="inlineStr">
        <is>
          <t>04:10:10</t>
        </is>
      </c>
      <c r="E19" s="41" t="n"/>
      <c r="F19" s="42" t="n"/>
      <c r="G19" s="44" t="n"/>
      <c r="H19" s="41" t="n"/>
      <c r="I19" s="42" t="n"/>
      <c r="J19" s="44" t="n"/>
      <c r="K19" s="45" t="inlineStr">
        <is>
          <t>04:10:10</t>
        </is>
      </c>
      <c r="L19" s="46" t="n"/>
      <c r="M19" s="164" t="n"/>
      <c r="N19" s="164" t="n"/>
      <c r="O19" s="164" t="n"/>
      <c r="P19" s="48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09:27:56</t>
        </is>
      </c>
      <c r="C20" s="49" t="n"/>
      <c r="D20" s="50" t="inlineStr">
        <is>
          <t>00:00:00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00:00:00</t>
        </is>
      </c>
      <c r="L20" s="46" t="n"/>
      <c r="M20" s="164" t="n"/>
      <c r="N20" s="164" t="n"/>
      <c r="O20" s="164" t="n"/>
      <c r="P20" s="48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9" customWidth="1" style="177" min="1" max="1"/>
    <col width="13.14" customWidth="1" style="177" min="2" max="2"/>
    <col width="10.71" customWidth="1" style="177" min="3" max="3"/>
    <col width="9.710000000000001" customWidth="1" style="177" min="4" max="4"/>
    <col width="13.14" customWidth="1" style="177" min="5" max="5"/>
    <col width="10.71" customWidth="1" style="177" min="6" max="6"/>
    <col width="9.710000000000001" customWidth="1" style="177" min="7" max="7"/>
    <col width="13.14" customWidth="1" style="177" min="8" max="8"/>
    <col width="10.71" customWidth="1" style="177" min="9" max="9"/>
    <col width="9.710000000000001" customWidth="1" style="177" min="10" max="10"/>
    <col width="25.29" customWidth="1" style="177" min="11" max="11"/>
    <col width="13" customWidth="1" style="177" min="12" max="12"/>
    <col width="0.43" customWidth="1" style="177" min="13" max="13"/>
    <col width="30.14" customWidth="1" style="177" min="14" max="14"/>
    <col width="0.43" customWidth="1" style="177" min="15" max="15"/>
    <col width="20.57" customWidth="1" style="177" min="16" max="16"/>
    <col width="31.29" customWidth="1" style="177" min="17" max="17"/>
  </cols>
  <sheetData>
    <row r="1" ht="41.25" customHeight="1" s="177">
      <c r="A1" s="178" t="inlineStr">
        <is>
          <t>CARLOS CRISTOPHER TERRAZAS MARTINEZ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80" t="n"/>
      <c r="Q1" s="17" t="inlineStr">
        <is>
          <t>TOTAL CONTABILIZADO:</t>
        </is>
      </c>
      <c r="R1" s="20">
        <f>SUM(P:P)</f>
        <v/>
      </c>
      <c r="S1" s="1" t="n"/>
      <c r="T1" s="1" t="n"/>
      <c r="U1" s="1" t="n"/>
      <c r="V1" s="1" t="n"/>
      <c r="W1" s="1" t="n"/>
      <c r="X1" s="1" t="n"/>
      <c r="Y1" s="1" t="n"/>
      <c r="Z1" s="1" t="n"/>
    </row>
    <row r="2" ht="41.25" customHeight="1" s="177">
      <c r="A2" s="24" t="inlineStr">
        <is>
          <t>FECHA</t>
        </is>
      </c>
      <c r="B2" s="26" t="inlineStr">
        <is>
          <t>ENTRADA 1</t>
        </is>
      </c>
      <c r="C2" s="28" t="inlineStr">
        <is>
          <t>SALIDA 1</t>
        </is>
      </c>
      <c r="D2" s="29" t="inlineStr">
        <is>
          <t>TOTAL 1</t>
        </is>
      </c>
      <c r="E2" s="26" t="inlineStr">
        <is>
          <t>ENTRADA 2</t>
        </is>
      </c>
      <c r="F2" s="28" t="inlineStr">
        <is>
          <t>SALIDA 2</t>
        </is>
      </c>
      <c r="G2" s="31" t="inlineStr">
        <is>
          <t>TOTAL 2</t>
        </is>
      </c>
      <c r="H2" s="26" t="inlineStr">
        <is>
          <t>ENTRADA 3</t>
        </is>
      </c>
      <c r="I2" s="28" t="inlineStr">
        <is>
          <t>SALIDA 3</t>
        </is>
      </c>
      <c r="J2" s="31" t="inlineStr">
        <is>
          <t>TOTAL 3</t>
        </is>
      </c>
      <c r="K2" s="32" t="inlineStr">
        <is>
          <t>TOTAL HORAS DIARIAS</t>
        </is>
      </c>
      <c r="L2" s="33" t="inlineStr">
        <is>
          <t>AJUSTE (-)</t>
        </is>
      </c>
      <c r="M2" s="34" t="n"/>
      <c r="N2" s="35" t="inlineStr">
        <is>
          <t>JUSTIFICACIÓN</t>
        </is>
      </c>
      <c r="O2" s="34" t="n"/>
      <c r="P2" s="36" t="inlineStr">
        <is>
          <t>TOTAL DE SEMANA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37" t="n">
        <v>46286</v>
      </c>
      <c r="B3" s="26" t="n"/>
      <c r="C3" s="28" t="n"/>
      <c r="D3" s="29" t="n"/>
      <c r="E3" s="26" t="n"/>
      <c r="F3" s="28" t="n"/>
      <c r="G3" s="31" t="n"/>
      <c r="H3" s="26" t="n"/>
      <c r="I3" s="28" t="n"/>
      <c r="J3" s="31" t="n"/>
      <c r="K3" s="38" t="n"/>
      <c r="L3" s="39" t="n"/>
      <c r="M3" s="34" t="n"/>
      <c r="N3" s="34" t="n"/>
      <c r="O3" s="34" t="n"/>
      <c r="P3" s="40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37" t="n">
        <v>46287</v>
      </c>
      <c r="B4" s="41" t="n"/>
      <c r="C4" s="42" t="n"/>
      <c r="D4" s="43" t="n"/>
      <c r="E4" s="41" t="n"/>
      <c r="F4" s="42" t="n"/>
      <c r="G4" s="44" t="n"/>
      <c r="H4" s="41" t="n"/>
      <c r="I4" s="42" t="n"/>
      <c r="J4" s="44" t="n"/>
      <c r="K4" s="45" t="n"/>
      <c r="L4" s="46" t="n"/>
      <c r="M4" s="164" t="n"/>
      <c r="N4" s="164" t="n"/>
      <c r="O4" s="164" t="n"/>
      <c r="P4" s="48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37" t="n">
        <v>46288</v>
      </c>
      <c r="B5" s="41" t="n"/>
      <c r="C5" s="42" t="n"/>
      <c r="D5" s="43" t="n"/>
      <c r="E5" s="41" t="n"/>
      <c r="F5" s="42" t="n"/>
      <c r="G5" s="44" t="n"/>
      <c r="H5" s="41" t="n"/>
      <c r="I5" s="42" t="n"/>
      <c r="J5" s="44" t="n"/>
      <c r="K5" s="45" t="n"/>
      <c r="L5" s="46" t="n"/>
      <c r="M5" s="164" t="n"/>
      <c r="N5" s="164" t="n"/>
      <c r="O5" s="164" t="n"/>
      <c r="P5" s="48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37" t="n">
        <v>46289</v>
      </c>
      <c r="B6" s="41" t="n"/>
      <c r="C6" s="49" t="n"/>
      <c r="D6" s="50" t="n"/>
      <c r="E6" s="41" t="n"/>
      <c r="F6" s="49" t="n"/>
      <c r="G6" s="44" t="n"/>
      <c r="H6" s="41" t="n"/>
      <c r="I6" s="49" t="n"/>
      <c r="J6" s="44" t="n"/>
      <c r="K6" s="45" t="n"/>
      <c r="L6" s="46" t="n"/>
      <c r="M6" s="164" t="n"/>
      <c r="N6" s="164" t="n"/>
      <c r="O6" s="164" t="n"/>
      <c r="P6" s="48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37" t="n">
        <v>46290</v>
      </c>
      <c r="B7" s="51" t="n"/>
      <c r="C7" s="52" t="n"/>
      <c r="D7" s="48" t="n"/>
      <c r="E7" s="51" t="n"/>
      <c r="F7" s="52" t="n"/>
      <c r="G7" s="48" t="n"/>
      <c r="H7" s="51" t="n"/>
      <c r="I7" s="52" t="n"/>
      <c r="J7" s="48" t="n"/>
      <c r="K7" s="53" t="n"/>
      <c r="L7" s="54" t="n"/>
      <c r="M7" s="164" t="n"/>
      <c r="N7" s="164" t="n"/>
      <c r="O7" s="164" t="n"/>
      <c r="P7" s="4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55" t="n"/>
      <c r="B8" s="57" t="n"/>
      <c r="C8" s="57" t="n"/>
      <c r="D8" s="55" t="n"/>
      <c r="E8" s="57" t="n"/>
      <c r="F8" s="57" t="n"/>
      <c r="G8" s="55" t="n"/>
      <c r="H8" s="57" t="n"/>
      <c r="I8" s="57" t="n"/>
      <c r="J8" s="55" t="n"/>
      <c r="K8" s="55" t="n"/>
      <c r="L8" s="54" t="n"/>
      <c r="M8" s="164" t="n"/>
      <c r="N8" s="164" t="n"/>
      <c r="O8" s="164" t="n"/>
      <c r="P8" s="4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59" t="n"/>
      <c r="B9" s="61" t="n"/>
      <c r="C9" s="61" t="n"/>
      <c r="D9" s="62" t="n"/>
      <c r="E9" s="61" t="n"/>
      <c r="F9" s="61" t="n"/>
      <c r="G9" s="62" t="n"/>
      <c r="H9" s="61" t="n"/>
      <c r="I9" s="61" t="n"/>
      <c r="J9" s="62" t="n"/>
      <c r="K9" s="64" t="n"/>
      <c r="L9" s="65" t="n"/>
      <c r="M9" s="66" t="n"/>
      <c r="N9" s="66" t="n"/>
      <c r="O9" s="66" t="n"/>
      <c r="P9" s="70">
        <f>SUMPRODUCT(VALUE(K3:K7))-(SUM(L3:L7))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37" t="n">
        <v>46293</v>
      </c>
      <c r="B10" s="175" t="n">
        <v>0.5</v>
      </c>
      <c r="C10" s="176" t="n">
        <v>0.6041666666666666</v>
      </c>
      <c r="D10" s="91">
        <f>C10-B10</f>
        <v/>
      </c>
      <c r="E10" s="147" t="inlineStr">
        <is>
          <t>16:08:42</t>
        </is>
      </c>
      <c r="F10" s="159" t="inlineStr">
        <is>
          <t>17:50:18</t>
        </is>
      </c>
      <c r="G10" s="91">
        <f>F10-E10</f>
        <v/>
      </c>
      <c r="H10" s="175" t="n"/>
      <c r="I10" s="176" t="n"/>
      <c r="J10" s="145" t="n"/>
      <c r="K10" s="92">
        <f>D10+G10+J10</f>
        <v/>
      </c>
      <c r="L10" s="126" t="n">
        <v>0.008055555555555555</v>
      </c>
      <c r="M10" s="34" t="n"/>
      <c r="N10" s="34" t="n"/>
      <c r="O10" s="34" t="n"/>
      <c r="P10" s="72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37" t="n">
        <v>46294</v>
      </c>
      <c r="B11" s="147" t="inlineStr">
        <is>
          <t>12:03:48</t>
        </is>
      </c>
      <c r="C11" s="159" t="inlineStr">
        <is>
          <t>16:00:57</t>
        </is>
      </c>
      <c r="D11" s="103">
        <f>C11-B11</f>
        <v/>
      </c>
      <c r="E11" s="147" t="n"/>
      <c r="F11" s="159" t="n"/>
      <c r="G11" s="103">
        <f>F11-E11</f>
        <v/>
      </c>
      <c r="H11" s="147" t="n"/>
      <c r="I11" s="159" t="n"/>
      <c r="J11" s="150" t="n"/>
      <c r="K11" s="104">
        <f>D11+G11+J11</f>
        <v/>
      </c>
      <c r="L11" s="46" t="n"/>
      <c r="M11" s="164" t="n"/>
      <c r="N11" s="164" t="n"/>
      <c r="O11" s="164" t="n"/>
      <c r="P11" s="4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37" t="n">
        <v>46295</v>
      </c>
      <c r="B12" s="147" t="inlineStr">
        <is>
          <t>12:14:56</t>
        </is>
      </c>
      <c r="C12" s="159" t="inlineStr">
        <is>
          <t>14:31:15</t>
        </is>
      </c>
      <c r="D12" s="103">
        <f>C12-B12</f>
        <v/>
      </c>
      <c r="E12" s="147" t="inlineStr">
        <is>
          <t>16:08:42</t>
        </is>
      </c>
      <c r="F12" s="159" t="inlineStr">
        <is>
          <t>17:50:18</t>
        </is>
      </c>
      <c r="G12" s="103">
        <f>F12-E12</f>
        <v/>
      </c>
      <c r="H12" s="147" t="n"/>
      <c r="I12" s="159" t="n"/>
      <c r="J12" s="150" t="n"/>
      <c r="K12" s="104">
        <f>D12+G12+J12</f>
        <v/>
      </c>
      <c r="L12" s="46" t="n"/>
      <c r="M12" s="164" t="n"/>
      <c r="N12" s="164" t="n"/>
      <c r="O12" s="164" t="n"/>
      <c r="P12" s="48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37" t="n">
        <v>46296</v>
      </c>
      <c r="B13" s="147" t="inlineStr">
        <is>
          <t>12:20:44</t>
        </is>
      </c>
      <c r="C13" s="152" t="inlineStr">
        <is>
          <t>16:21:11</t>
        </is>
      </c>
      <c r="D13" s="103">
        <f>C13-B13</f>
        <v/>
      </c>
      <c r="E13" s="147" t="n"/>
      <c r="F13" s="152" t="n"/>
      <c r="G13" s="103">
        <f>F13-E13</f>
        <v/>
      </c>
      <c r="H13" s="147" t="n"/>
      <c r="I13" s="152" t="n"/>
      <c r="J13" s="150" t="n"/>
      <c r="K13" s="104">
        <f>D13+G13+J13</f>
        <v/>
      </c>
      <c r="L13" s="46" t="n"/>
      <c r="M13" s="164" t="n"/>
      <c r="N13" s="164" t="n"/>
      <c r="O13" s="164" t="n"/>
      <c r="P13" s="48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37" t="n">
        <v>46297</v>
      </c>
      <c r="B14" s="154" t="inlineStr">
        <is>
          <t>12:10:55</t>
        </is>
      </c>
      <c r="C14" s="155" t="inlineStr">
        <is>
          <t>17:30:43</t>
        </is>
      </c>
      <c r="D14" s="114">
        <f>C14-B14</f>
        <v/>
      </c>
      <c r="E14" s="154" t="n"/>
      <c r="F14" s="155" t="n"/>
      <c r="G14" s="114">
        <f>F14-E14</f>
        <v/>
      </c>
      <c r="H14" s="154" t="n"/>
      <c r="I14" s="155" t="n"/>
      <c r="J14" s="108" t="n"/>
      <c r="K14" s="115">
        <f>D14+G14+J14</f>
        <v/>
      </c>
      <c r="L14" s="137" t="n">
        <v>0.01375</v>
      </c>
      <c r="M14" s="164" t="n"/>
      <c r="N14" s="164" t="inlineStr">
        <is>
          <t>Hora Justificada</t>
        </is>
      </c>
      <c r="O14" s="164" t="n"/>
      <c r="P14" s="48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55" t="n"/>
      <c r="B15" s="57" t="n"/>
      <c r="C15" s="57" t="n"/>
      <c r="D15" s="55" t="n"/>
      <c r="E15" s="57" t="n"/>
      <c r="F15" s="57" t="n"/>
      <c r="G15" s="55" t="n"/>
      <c r="H15" s="57" t="n"/>
      <c r="I15" s="57" t="n"/>
      <c r="J15" s="55" t="n"/>
      <c r="K15" s="55" t="n"/>
      <c r="L15" s="54" t="n"/>
      <c r="M15" s="164" t="n"/>
      <c r="N15" s="164" t="n"/>
      <c r="O15" s="164" t="n"/>
      <c r="P15" s="48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59" t="n"/>
      <c r="B16" s="61" t="n"/>
      <c r="C16" s="61" t="n"/>
      <c r="D16" s="62" t="n"/>
      <c r="E16" s="61" t="n"/>
      <c r="F16" s="61" t="n"/>
      <c r="G16" s="62" t="n"/>
      <c r="H16" s="61" t="n"/>
      <c r="I16" s="61" t="n"/>
      <c r="J16" s="62" t="n"/>
      <c r="K16" s="62" t="n"/>
      <c r="L16" s="65" t="n"/>
      <c r="M16" s="66" t="n"/>
      <c r="N16" s="66" t="n"/>
      <c r="O16" s="66" t="n"/>
      <c r="P16" s="70">
        <f>SUMPRODUCT(VALUE(K10:K14))-(SUM(L10:L14))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37" t="n">
        <v>46300</v>
      </c>
      <c r="B17" s="26" t="inlineStr">
        <is>
          <t>13:03:00</t>
        </is>
      </c>
      <c r="C17" s="28" t="inlineStr">
        <is>
          <t>14:43:51</t>
        </is>
      </c>
      <c r="D17" s="29" t="inlineStr">
        <is>
          <t>01:40:51</t>
        </is>
      </c>
      <c r="E17" s="26" t="inlineStr">
        <is>
          <t>15:53:29</t>
        </is>
      </c>
      <c r="F17" s="28" t="inlineStr">
        <is>
          <t>17:30:05</t>
        </is>
      </c>
      <c r="G17" s="31" t="inlineStr">
        <is>
          <t>01:36:36</t>
        </is>
      </c>
      <c r="H17" s="26" t="n"/>
      <c r="I17" s="28" t="n"/>
      <c r="J17" s="31" t="n"/>
      <c r="K17" s="38" t="inlineStr">
        <is>
          <t>03:17:27</t>
        </is>
      </c>
      <c r="L17" s="39" t="n"/>
      <c r="M17" s="34" t="n"/>
      <c r="N17" s="34" t="n"/>
      <c r="O17" s="34" t="n"/>
      <c r="P17" s="72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37" t="n">
        <v>46301</v>
      </c>
      <c r="B18" s="41" t="inlineStr">
        <is>
          <t>12:10:41</t>
        </is>
      </c>
      <c r="C18" s="42" t="inlineStr">
        <is>
          <t>16:09:52</t>
        </is>
      </c>
      <c r="D18" s="43" t="inlineStr">
        <is>
          <t>03:59:11</t>
        </is>
      </c>
      <c r="E18" s="41" t="n"/>
      <c r="F18" s="42" t="n"/>
      <c r="G18" s="44" t="n"/>
      <c r="H18" s="41" t="n"/>
      <c r="I18" s="42" t="n"/>
      <c r="J18" s="44" t="n"/>
      <c r="K18" s="45" t="inlineStr">
        <is>
          <t>03:59:11</t>
        </is>
      </c>
      <c r="L18" s="46" t="n"/>
      <c r="M18" s="164" t="n"/>
      <c r="N18" s="164" t="n"/>
      <c r="O18" s="164" t="n"/>
      <c r="P18" s="48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37" t="n">
        <v>46302</v>
      </c>
      <c r="B19" s="41" t="inlineStr">
        <is>
          <t>11:54:40</t>
        </is>
      </c>
      <c r="C19" s="42" t="inlineStr">
        <is>
          <t>14:30:58</t>
        </is>
      </c>
      <c r="D19" s="43" t="inlineStr">
        <is>
          <t>02:36:18</t>
        </is>
      </c>
      <c r="E19" s="41" t="inlineStr">
        <is>
          <t>15:56:08</t>
        </is>
      </c>
      <c r="F19" s="42" t="inlineStr">
        <is>
          <t>17:28:27</t>
        </is>
      </c>
      <c r="G19" s="44" t="inlineStr">
        <is>
          <t>01:32:19</t>
        </is>
      </c>
      <c r="H19" s="41" t="n"/>
      <c r="I19" s="42" t="n"/>
      <c r="J19" s="44" t="n"/>
      <c r="K19" s="45" t="inlineStr">
        <is>
          <t>04:08:37</t>
        </is>
      </c>
      <c r="L19" s="46" t="n"/>
      <c r="M19" s="164" t="n"/>
      <c r="N19" s="164" t="n"/>
      <c r="O19" s="164" t="n"/>
      <c r="P19" s="48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37" t="n">
        <v>46303</v>
      </c>
      <c r="B20" s="41" t="inlineStr">
        <is>
          <t>12:14:16</t>
        </is>
      </c>
      <c r="C20" s="49" t="n"/>
      <c r="D20" s="50" t="inlineStr">
        <is>
          <t>00:00:00</t>
        </is>
      </c>
      <c r="E20" s="41" t="n"/>
      <c r="F20" s="49" t="n"/>
      <c r="G20" s="44" t="n"/>
      <c r="H20" s="41" t="n"/>
      <c r="I20" s="49" t="n"/>
      <c r="J20" s="44" t="n"/>
      <c r="K20" s="45" t="inlineStr">
        <is>
          <t>00:00:00</t>
        </is>
      </c>
      <c r="L20" s="46" t="n"/>
      <c r="M20" s="164" t="n"/>
      <c r="N20" s="164" t="n"/>
      <c r="O20" s="164" t="n"/>
      <c r="P20" s="48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7">
      <c r="A21" s="37" t="n">
        <v>46304</v>
      </c>
      <c r="B21" s="51" t="n"/>
      <c r="C21" s="52" t="n"/>
      <c r="D21" s="48" t="n"/>
      <c r="E21" s="51" t="n"/>
      <c r="F21" s="52" t="n"/>
      <c r="G21" s="48" t="n"/>
      <c r="H21" s="51" t="n"/>
      <c r="I21" s="52" t="n"/>
      <c r="J21" s="48" t="n"/>
      <c r="K21" s="53" t="n"/>
      <c r="L21" s="54" t="n"/>
      <c r="M21" s="164" t="n"/>
      <c r="N21" s="164" t="n"/>
      <c r="O21" s="164" t="n"/>
      <c r="P21" s="48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77">
      <c r="A22" s="55" t="n"/>
      <c r="B22" s="57" t="n"/>
      <c r="C22" s="57" t="n"/>
      <c r="D22" s="55" t="n"/>
      <c r="E22" s="57" t="n"/>
      <c r="F22" s="57" t="n"/>
      <c r="G22" s="55" t="n"/>
      <c r="H22" s="57" t="n"/>
      <c r="I22" s="57" t="n"/>
      <c r="J22" s="55" t="n"/>
      <c r="K22" s="55" t="n"/>
      <c r="L22" s="54" t="n"/>
      <c r="M22" s="164" t="n"/>
      <c r="N22" s="164" t="n"/>
      <c r="O22" s="164" t="n"/>
      <c r="P22" s="48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77">
      <c r="A23" s="59" t="n"/>
      <c r="B23" s="61" t="n"/>
      <c r="C23" s="61" t="n"/>
      <c r="D23" s="62" t="n"/>
      <c r="E23" s="61" t="n"/>
      <c r="F23" s="61" t="n"/>
      <c r="G23" s="62" t="n"/>
      <c r="H23" s="61" t="n"/>
      <c r="I23" s="61" t="n"/>
      <c r="J23" s="62" t="n"/>
      <c r="K23" s="62" t="n"/>
      <c r="L23" s="65" t="n"/>
      <c r="M23" s="66" t="n"/>
      <c r="N23" s="66" t="n"/>
      <c r="O23" s="66" t="n"/>
      <c r="P23" s="70">
        <f>SUMPRODUCT(VALUE(K17:K21))-(SUM(L17:L21))</f>
        <v/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77">
      <c r="A24" s="37" t="n">
        <v>46307</v>
      </c>
      <c r="B24" s="26" t="n"/>
      <c r="C24" s="28" t="n"/>
      <c r="D24" s="29" t="n"/>
      <c r="E24" s="26" t="n"/>
      <c r="F24" s="28" t="n"/>
      <c r="G24" s="31" t="n"/>
      <c r="H24" s="26" t="n"/>
      <c r="I24" s="28" t="n"/>
      <c r="J24" s="31" t="n"/>
      <c r="K24" s="38" t="n"/>
      <c r="L24" s="39" t="n"/>
      <c r="M24" s="34" t="n"/>
      <c r="N24" s="34" t="n"/>
      <c r="O24" s="34" t="n"/>
      <c r="P24" s="72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77">
      <c r="A25" s="37" t="n">
        <v>46308</v>
      </c>
      <c r="B25" s="41" t="n"/>
      <c r="C25" s="42" t="n"/>
      <c r="D25" s="43" t="n"/>
      <c r="E25" s="41" t="n"/>
      <c r="F25" s="42" t="n"/>
      <c r="G25" s="44" t="n"/>
      <c r="H25" s="41" t="n"/>
      <c r="I25" s="42" t="n"/>
      <c r="J25" s="44" t="n"/>
      <c r="K25" s="45" t="n"/>
      <c r="L25" s="46" t="n"/>
      <c r="M25" s="164" t="n"/>
      <c r="N25" s="164" t="n"/>
      <c r="O25" s="164" t="n"/>
      <c r="P25" s="48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77">
      <c r="A26" s="37" t="n">
        <v>46309</v>
      </c>
      <c r="B26" s="41" t="n"/>
      <c r="C26" s="42" t="n"/>
      <c r="D26" s="43" t="n"/>
      <c r="E26" s="41" t="n"/>
      <c r="F26" s="42" t="n"/>
      <c r="G26" s="44" t="n"/>
      <c r="H26" s="41" t="n"/>
      <c r="I26" s="42" t="n"/>
      <c r="J26" s="44" t="n"/>
      <c r="K26" s="45" t="n"/>
      <c r="L26" s="46" t="n"/>
      <c r="M26" s="164" t="n"/>
      <c r="N26" s="164" t="n"/>
      <c r="O26" s="164" t="n"/>
      <c r="P26" s="48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77">
      <c r="A27" s="37" t="n">
        <v>46310</v>
      </c>
      <c r="B27" s="41" t="n"/>
      <c r="C27" s="49" t="n"/>
      <c r="D27" s="50" t="n"/>
      <c r="E27" s="41" t="n"/>
      <c r="F27" s="49" t="n"/>
      <c r="G27" s="44" t="n"/>
      <c r="H27" s="41" t="n"/>
      <c r="I27" s="49" t="n"/>
      <c r="J27" s="44" t="n"/>
      <c r="K27" s="45" t="n"/>
      <c r="L27" s="46" t="n"/>
      <c r="M27" s="164" t="n"/>
      <c r="N27" s="164" t="n"/>
      <c r="O27" s="164" t="n"/>
      <c r="P27" s="48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77">
      <c r="A28" s="37" t="n">
        <v>46311</v>
      </c>
      <c r="B28" s="51" t="n"/>
      <c r="C28" s="52" t="n"/>
      <c r="D28" s="48" t="n"/>
      <c r="E28" s="51" t="n"/>
      <c r="F28" s="52" t="n"/>
      <c r="G28" s="48" t="n"/>
      <c r="H28" s="51" t="n"/>
      <c r="I28" s="52" t="n"/>
      <c r="J28" s="48" t="n"/>
      <c r="K28" s="53" t="n"/>
      <c r="L28" s="54" t="n"/>
      <c r="M28" s="164" t="n"/>
      <c r="N28" s="164" t="n"/>
      <c r="O28" s="164" t="n"/>
      <c r="P28" s="48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77">
      <c r="A29" s="55" t="n"/>
      <c r="B29" s="57" t="n"/>
      <c r="C29" s="57" t="n"/>
      <c r="D29" s="55" t="n"/>
      <c r="E29" s="57" t="n"/>
      <c r="F29" s="57" t="n"/>
      <c r="G29" s="55" t="n"/>
      <c r="H29" s="57" t="n"/>
      <c r="I29" s="57" t="n"/>
      <c r="J29" s="55" t="n"/>
      <c r="K29" s="55" t="n"/>
      <c r="L29" s="54" t="n"/>
      <c r="M29" s="164" t="n"/>
      <c r="N29" s="164" t="n"/>
      <c r="O29" s="164" t="n"/>
      <c r="P29" s="48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77">
      <c r="A30" s="59" t="n"/>
      <c r="B30" s="61" t="n"/>
      <c r="C30" s="61" t="n"/>
      <c r="D30" s="62" t="n"/>
      <c r="E30" s="61" t="n"/>
      <c r="F30" s="61" t="n"/>
      <c r="G30" s="62" t="n"/>
      <c r="H30" s="61" t="n"/>
      <c r="I30" s="61" t="n"/>
      <c r="J30" s="62" t="n"/>
      <c r="K30" s="62" t="n"/>
      <c r="L30" s="65" t="n"/>
      <c r="M30" s="66" t="n"/>
      <c r="N30" s="66" t="n"/>
      <c r="O30" s="66" t="n"/>
      <c r="P30" s="70">
        <f>SUMPRODUCT(VALUE(K24:K28))-(SUM(L24:L28))</f>
        <v/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77">
      <c r="A31" s="37" t="n">
        <v>46314</v>
      </c>
      <c r="B31" s="26" t="n"/>
      <c r="C31" s="28" t="n"/>
      <c r="D31" s="29" t="n"/>
      <c r="E31" s="26" t="n"/>
      <c r="F31" s="28" t="n"/>
      <c r="G31" s="31" t="n"/>
      <c r="H31" s="26" t="n"/>
      <c r="I31" s="28" t="n"/>
      <c r="J31" s="31" t="n"/>
      <c r="K31" s="38" t="n"/>
      <c r="L31" s="39" t="n"/>
      <c r="M31" s="34" t="n"/>
      <c r="N31" s="34" t="n"/>
      <c r="O31" s="34" t="n"/>
      <c r="P31" s="72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77">
      <c r="A32" s="37" t="n">
        <v>46315</v>
      </c>
      <c r="B32" s="41" t="n"/>
      <c r="C32" s="42" t="n"/>
      <c r="D32" s="43" t="n"/>
      <c r="E32" s="41" t="n"/>
      <c r="F32" s="42" t="n"/>
      <c r="G32" s="44" t="n"/>
      <c r="H32" s="41" t="n"/>
      <c r="I32" s="42" t="n"/>
      <c r="J32" s="44" t="n"/>
      <c r="K32" s="45" t="n"/>
      <c r="L32" s="46" t="n"/>
      <c r="M32" s="164" t="n"/>
      <c r="N32" s="164" t="n"/>
      <c r="O32" s="164" t="n"/>
      <c r="P32" s="48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77">
      <c r="A33" s="37" t="n">
        <v>46316</v>
      </c>
      <c r="B33" s="41" t="n"/>
      <c r="C33" s="42" t="n"/>
      <c r="D33" s="43" t="n"/>
      <c r="E33" s="41" t="n"/>
      <c r="F33" s="42" t="n"/>
      <c r="G33" s="44" t="n"/>
      <c r="H33" s="41" t="n"/>
      <c r="I33" s="42" t="n"/>
      <c r="J33" s="44" t="n"/>
      <c r="K33" s="45" t="n"/>
      <c r="L33" s="46" t="n"/>
      <c r="M33" s="164" t="n"/>
      <c r="N33" s="164" t="n"/>
      <c r="O33" s="164" t="n"/>
      <c r="P33" s="48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77">
      <c r="A34" s="37" t="n">
        <v>46317</v>
      </c>
      <c r="B34" s="41" t="n"/>
      <c r="C34" s="49" t="n"/>
      <c r="D34" s="50" t="n"/>
      <c r="E34" s="41" t="n"/>
      <c r="F34" s="49" t="n"/>
      <c r="G34" s="44" t="n"/>
      <c r="H34" s="41" t="n"/>
      <c r="I34" s="49" t="n"/>
      <c r="J34" s="44" t="n"/>
      <c r="K34" s="45" t="n"/>
      <c r="L34" s="46" t="n"/>
      <c r="M34" s="164" t="n"/>
      <c r="N34" s="164" t="n"/>
      <c r="O34" s="164" t="n"/>
      <c r="P34" s="48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77">
      <c r="A35" s="37" t="n">
        <v>46318</v>
      </c>
      <c r="B35" s="51" t="n"/>
      <c r="C35" s="52" t="n"/>
      <c r="D35" s="48" t="n"/>
      <c r="E35" s="51" t="n"/>
      <c r="F35" s="52" t="n"/>
      <c r="G35" s="48" t="n"/>
      <c r="H35" s="51" t="n"/>
      <c r="I35" s="52" t="n"/>
      <c r="J35" s="48" t="n"/>
      <c r="K35" s="53" t="n"/>
      <c r="L35" s="54" t="n"/>
      <c r="M35" s="164" t="n"/>
      <c r="N35" s="164" t="n"/>
      <c r="O35" s="164" t="n"/>
      <c r="P35" s="48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77">
      <c r="A36" s="55" t="n"/>
      <c r="B36" s="57" t="n"/>
      <c r="C36" s="57" t="n"/>
      <c r="D36" s="55" t="n"/>
      <c r="E36" s="57" t="n"/>
      <c r="F36" s="57" t="n"/>
      <c r="G36" s="55" t="n"/>
      <c r="H36" s="57" t="n"/>
      <c r="I36" s="57" t="n"/>
      <c r="J36" s="55" t="n"/>
      <c r="K36" s="55" t="n"/>
      <c r="L36" s="54" t="n"/>
      <c r="M36" s="164" t="n"/>
      <c r="N36" s="164" t="n"/>
      <c r="O36" s="164" t="n"/>
      <c r="P36" s="48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77">
      <c r="A37" s="59" t="n"/>
      <c r="B37" s="61" t="n"/>
      <c r="C37" s="61" t="n"/>
      <c r="D37" s="62" t="n"/>
      <c r="E37" s="61" t="n"/>
      <c r="F37" s="61" t="n"/>
      <c r="G37" s="62" t="n"/>
      <c r="H37" s="61" t="n"/>
      <c r="I37" s="61" t="n"/>
      <c r="J37" s="62" t="n"/>
      <c r="K37" s="62" t="n"/>
      <c r="L37" s="65" t="n"/>
      <c r="M37" s="66" t="n"/>
      <c r="N37" s="66" t="n"/>
      <c r="O37" s="66" t="n"/>
      <c r="P37" s="70">
        <f>SUMPRODUCT(VALUE(K31:K35))-(SUM(L31:L35))</f>
        <v/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77">
      <c r="A38" s="37" t="n">
        <v>46321</v>
      </c>
      <c r="B38" s="26" t="n"/>
      <c r="C38" s="28" t="n"/>
      <c r="D38" s="29" t="n"/>
      <c r="E38" s="26" t="n"/>
      <c r="F38" s="28" t="n"/>
      <c r="G38" s="31" t="n"/>
      <c r="H38" s="26" t="n"/>
      <c r="I38" s="28" t="n"/>
      <c r="J38" s="31" t="n"/>
      <c r="K38" s="38" t="n"/>
      <c r="L38" s="39" t="n"/>
      <c r="M38" s="34" t="n"/>
      <c r="N38" s="34" t="n"/>
      <c r="O38" s="34" t="n"/>
      <c r="P38" s="72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77">
      <c r="A39" s="37" t="n">
        <v>46322</v>
      </c>
      <c r="B39" s="41" t="n"/>
      <c r="C39" s="42" t="n"/>
      <c r="D39" s="43" t="n"/>
      <c r="E39" s="41" t="n"/>
      <c r="F39" s="42" t="n"/>
      <c r="G39" s="44" t="n"/>
      <c r="H39" s="41" t="n"/>
      <c r="I39" s="42" t="n"/>
      <c r="J39" s="44" t="n"/>
      <c r="K39" s="45" t="n"/>
      <c r="L39" s="46" t="n"/>
      <c r="M39" s="164" t="n"/>
      <c r="N39" s="164" t="n"/>
      <c r="O39" s="164" t="n"/>
      <c r="P39" s="48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77">
      <c r="A40" s="37" t="n">
        <v>46323</v>
      </c>
      <c r="B40" s="41" t="n"/>
      <c r="C40" s="42" t="n"/>
      <c r="D40" s="43" t="n"/>
      <c r="E40" s="41" t="n"/>
      <c r="F40" s="42" t="n"/>
      <c r="G40" s="44" t="n"/>
      <c r="H40" s="41" t="n"/>
      <c r="I40" s="42" t="n"/>
      <c r="J40" s="44" t="n"/>
      <c r="K40" s="45" t="n"/>
      <c r="L40" s="46" t="n"/>
      <c r="M40" s="164" t="n"/>
      <c r="N40" s="164" t="n"/>
      <c r="O40" s="164" t="n"/>
      <c r="P40" s="48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77">
      <c r="A41" s="37" t="n">
        <v>46324</v>
      </c>
      <c r="B41" s="41" t="n"/>
      <c r="C41" s="49" t="n"/>
      <c r="D41" s="50" t="n"/>
      <c r="E41" s="41" t="n"/>
      <c r="F41" s="49" t="n"/>
      <c r="G41" s="44" t="n"/>
      <c r="H41" s="41" t="n"/>
      <c r="I41" s="49" t="n"/>
      <c r="J41" s="44" t="n"/>
      <c r="K41" s="45" t="n"/>
      <c r="L41" s="46" t="n"/>
      <c r="M41" s="164" t="n"/>
      <c r="N41" s="164" t="n"/>
      <c r="O41" s="164" t="n"/>
      <c r="P41" s="48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77">
      <c r="A42" s="37" t="n">
        <v>46325</v>
      </c>
      <c r="B42" s="51" t="n"/>
      <c r="C42" s="52" t="n"/>
      <c r="D42" s="48" t="n"/>
      <c r="E42" s="51" t="n"/>
      <c r="F42" s="52" t="n"/>
      <c r="G42" s="48" t="n"/>
      <c r="H42" s="51" t="n"/>
      <c r="I42" s="52" t="n"/>
      <c r="J42" s="48" t="n"/>
      <c r="K42" s="53" t="n"/>
      <c r="L42" s="54" t="n"/>
      <c r="M42" s="164" t="n"/>
      <c r="N42" s="164" t="n"/>
      <c r="O42" s="164" t="n"/>
      <c r="P42" s="48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77">
      <c r="A43" s="55" t="n"/>
      <c r="B43" s="57" t="n"/>
      <c r="C43" s="57" t="n"/>
      <c r="D43" s="55" t="n"/>
      <c r="E43" s="57" t="n"/>
      <c r="F43" s="57" t="n"/>
      <c r="G43" s="55" t="n"/>
      <c r="H43" s="57" t="n"/>
      <c r="I43" s="57" t="n"/>
      <c r="J43" s="55" t="n"/>
      <c r="K43" s="55" t="n"/>
      <c r="L43" s="54" t="n"/>
      <c r="M43" s="164" t="n"/>
      <c r="N43" s="164" t="n"/>
      <c r="O43" s="164" t="n"/>
      <c r="P43" s="48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77">
      <c r="A44" s="59" t="n"/>
      <c r="B44" s="61" t="n"/>
      <c r="C44" s="61" t="n"/>
      <c r="D44" s="62" t="n"/>
      <c r="E44" s="61" t="n"/>
      <c r="F44" s="61" t="n"/>
      <c r="G44" s="62" t="n"/>
      <c r="H44" s="61" t="n"/>
      <c r="I44" s="61" t="n"/>
      <c r="J44" s="62" t="n"/>
      <c r="K44" s="62" t="n"/>
      <c r="L44" s="65" t="n"/>
      <c r="M44" s="66" t="n"/>
      <c r="N44" s="66" t="n"/>
      <c r="O44" s="66" t="n"/>
      <c r="P44" s="70">
        <f>SUMPRODUCT(VALUE(K38:K42))-(SUM(L38:L42))</f>
        <v/>
      </c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77">
      <c r="A45" s="37" t="n">
        <v>46328</v>
      </c>
      <c r="B45" s="26" t="n"/>
      <c r="C45" s="28" t="n"/>
      <c r="D45" s="29" t="n"/>
      <c r="E45" s="26" t="n"/>
      <c r="F45" s="28" t="n"/>
      <c r="G45" s="31" t="n"/>
      <c r="H45" s="26" t="n"/>
      <c r="I45" s="28" t="n"/>
      <c r="J45" s="31" t="n"/>
      <c r="K45" s="38" t="n"/>
      <c r="L45" s="39" t="n"/>
      <c r="M45" s="34" t="n"/>
      <c r="N45" s="34" t="n"/>
      <c r="O45" s="34" t="n"/>
      <c r="P45" s="72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77">
      <c r="A46" s="37" t="n">
        <v>46329</v>
      </c>
      <c r="B46" s="41" t="n"/>
      <c r="C46" s="42" t="n"/>
      <c r="D46" s="43" t="n"/>
      <c r="E46" s="41" t="n"/>
      <c r="F46" s="42" t="n"/>
      <c r="G46" s="44" t="n"/>
      <c r="H46" s="41" t="n"/>
      <c r="I46" s="42" t="n"/>
      <c r="J46" s="44" t="n"/>
      <c r="K46" s="45" t="n"/>
      <c r="L46" s="46" t="n"/>
      <c r="M46" s="164" t="n"/>
      <c r="N46" s="164" t="n"/>
      <c r="O46" s="164" t="n"/>
      <c r="P46" s="48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77">
      <c r="A47" s="37" t="n">
        <v>46330</v>
      </c>
      <c r="B47" s="41" t="n"/>
      <c r="C47" s="42" t="n"/>
      <c r="D47" s="43" t="n"/>
      <c r="E47" s="41" t="n"/>
      <c r="F47" s="42" t="n"/>
      <c r="G47" s="44" t="n"/>
      <c r="H47" s="41" t="n"/>
      <c r="I47" s="42" t="n"/>
      <c r="J47" s="44" t="n"/>
      <c r="K47" s="45" t="n"/>
      <c r="L47" s="46" t="n"/>
      <c r="M47" s="164" t="n"/>
      <c r="N47" s="164" t="n"/>
      <c r="O47" s="164" t="n"/>
      <c r="P47" s="48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77">
      <c r="A48" s="37" t="n">
        <v>46331</v>
      </c>
      <c r="B48" s="41" t="n"/>
      <c r="C48" s="49" t="n"/>
      <c r="D48" s="50" t="n"/>
      <c r="E48" s="41" t="n"/>
      <c r="F48" s="49" t="n"/>
      <c r="G48" s="44" t="n"/>
      <c r="H48" s="41" t="n"/>
      <c r="I48" s="49" t="n"/>
      <c r="J48" s="44" t="n"/>
      <c r="K48" s="45" t="n"/>
      <c r="L48" s="46" t="n"/>
      <c r="M48" s="164" t="n"/>
      <c r="N48" s="164" t="n"/>
      <c r="O48" s="164" t="n"/>
      <c r="P48" s="48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77">
      <c r="A49" s="37" t="n">
        <v>46332</v>
      </c>
      <c r="B49" s="51" t="n"/>
      <c r="C49" s="52" t="n"/>
      <c r="D49" s="48" t="n"/>
      <c r="E49" s="51" t="n"/>
      <c r="F49" s="52" t="n"/>
      <c r="G49" s="48" t="n"/>
      <c r="H49" s="51" t="n"/>
      <c r="I49" s="52" t="n"/>
      <c r="J49" s="48" t="n"/>
      <c r="K49" s="53" t="n"/>
      <c r="L49" s="54" t="n"/>
      <c r="M49" s="164" t="n"/>
      <c r="N49" s="164" t="n"/>
      <c r="O49" s="164" t="n"/>
      <c r="P49" s="48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77">
      <c r="A50" s="55" t="n"/>
      <c r="B50" s="57" t="n"/>
      <c r="C50" s="57" t="n"/>
      <c r="D50" s="55" t="n"/>
      <c r="E50" s="57" t="n"/>
      <c r="F50" s="57" t="n"/>
      <c r="G50" s="55" t="n"/>
      <c r="H50" s="57" t="n"/>
      <c r="I50" s="57" t="n"/>
      <c r="J50" s="55" t="n"/>
      <c r="K50" s="55" t="n"/>
      <c r="L50" s="54" t="n"/>
      <c r="M50" s="164" t="n"/>
      <c r="N50" s="164" t="n"/>
      <c r="O50" s="164" t="n"/>
      <c r="P50" s="48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77">
      <c r="A51" s="59" t="n"/>
      <c r="B51" s="61" t="n"/>
      <c r="C51" s="61" t="n"/>
      <c r="D51" s="62" t="n"/>
      <c r="E51" s="61" t="n"/>
      <c r="F51" s="61" t="n"/>
      <c r="G51" s="62" t="n"/>
      <c r="H51" s="61" t="n"/>
      <c r="I51" s="61" t="n"/>
      <c r="J51" s="62" t="n"/>
      <c r="K51" s="62" t="n"/>
      <c r="L51" s="65" t="n"/>
      <c r="M51" s="66" t="n"/>
      <c r="N51" s="66" t="n"/>
      <c r="O51" s="66" t="n"/>
      <c r="P51" s="70">
        <f>SUMPRODUCT(VALUE(K45:K49))-(SUM(L45:L49))</f>
        <v/>
      </c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77">
      <c r="A52" s="37" t="n">
        <v>46335</v>
      </c>
      <c r="B52" s="26" t="n"/>
      <c r="C52" s="28" t="n"/>
      <c r="D52" s="29" t="n"/>
      <c r="E52" s="26" t="n"/>
      <c r="F52" s="28" t="n"/>
      <c r="G52" s="31" t="n"/>
      <c r="H52" s="26" t="n"/>
      <c r="I52" s="28" t="n"/>
      <c r="J52" s="31" t="n"/>
      <c r="K52" s="38" t="n"/>
      <c r="L52" s="39" t="n"/>
      <c r="M52" s="34" t="n"/>
      <c r="N52" s="34" t="n"/>
      <c r="O52" s="34" t="n"/>
      <c r="P52" s="72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77">
      <c r="A53" s="37" t="n">
        <v>46336</v>
      </c>
      <c r="B53" s="41" t="n"/>
      <c r="C53" s="42" t="n"/>
      <c r="D53" s="43" t="n"/>
      <c r="E53" s="41" t="n"/>
      <c r="F53" s="42" t="n"/>
      <c r="G53" s="44" t="n"/>
      <c r="H53" s="41" t="n"/>
      <c r="I53" s="42" t="n"/>
      <c r="J53" s="44" t="n"/>
      <c r="K53" s="45" t="n"/>
      <c r="L53" s="46" t="n"/>
      <c r="M53" s="164" t="n"/>
      <c r="N53" s="164" t="n"/>
      <c r="O53" s="164" t="n"/>
      <c r="P53" s="48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77">
      <c r="A54" s="37" t="n">
        <v>46337</v>
      </c>
      <c r="B54" s="41" t="n"/>
      <c r="C54" s="42" t="n"/>
      <c r="D54" s="43" t="n"/>
      <c r="E54" s="41" t="n"/>
      <c r="F54" s="42" t="n"/>
      <c r="G54" s="44" t="n"/>
      <c r="H54" s="41" t="n"/>
      <c r="I54" s="42" t="n"/>
      <c r="J54" s="44" t="n"/>
      <c r="K54" s="45" t="n"/>
      <c r="L54" s="46" t="n"/>
      <c r="M54" s="164" t="n"/>
      <c r="N54" s="164" t="n"/>
      <c r="O54" s="164" t="n"/>
      <c r="P54" s="48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77">
      <c r="A55" s="37" t="n">
        <v>46338</v>
      </c>
      <c r="B55" s="41" t="n"/>
      <c r="C55" s="49" t="n"/>
      <c r="D55" s="50" t="n"/>
      <c r="E55" s="41" t="n"/>
      <c r="F55" s="49" t="n"/>
      <c r="G55" s="44" t="n"/>
      <c r="H55" s="41" t="n"/>
      <c r="I55" s="49" t="n"/>
      <c r="J55" s="44" t="n"/>
      <c r="K55" s="45" t="n"/>
      <c r="L55" s="46" t="n"/>
      <c r="M55" s="164" t="n"/>
      <c r="N55" s="164" t="n"/>
      <c r="O55" s="164" t="n"/>
      <c r="P55" s="48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77">
      <c r="A56" s="37" t="n">
        <v>46339</v>
      </c>
      <c r="B56" s="51" t="n"/>
      <c r="C56" s="52" t="n"/>
      <c r="D56" s="48" t="n"/>
      <c r="E56" s="51" t="n"/>
      <c r="F56" s="52" t="n"/>
      <c r="G56" s="48" t="n"/>
      <c r="H56" s="51" t="n"/>
      <c r="I56" s="52" t="n"/>
      <c r="J56" s="48" t="n"/>
      <c r="K56" s="53" t="n"/>
      <c r="L56" s="54" t="n"/>
      <c r="M56" s="164" t="n"/>
      <c r="N56" s="164" t="n"/>
      <c r="O56" s="164" t="n"/>
      <c r="P56" s="48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77">
      <c r="A57" s="55" t="n"/>
      <c r="B57" s="57" t="n"/>
      <c r="C57" s="57" t="n"/>
      <c r="D57" s="55" t="n"/>
      <c r="E57" s="57" t="n"/>
      <c r="F57" s="57" t="n"/>
      <c r="G57" s="55" t="n"/>
      <c r="H57" s="57" t="n"/>
      <c r="I57" s="57" t="n"/>
      <c r="J57" s="55" t="n"/>
      <c r="K57" s="55" t="n"/>
      <c r="L57" s="54" t="n"/>
      <c r="M57" s="164" t="n"/>
      <c r="N57" s="164" t="n"/>
      <c r="O57" s="164" t="n"/>
      <c r="P57" s="48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77">
      <c r="A58" s="59" t="n"/>
      <c r="B58" s="61" t="n"/>
      <c r="C58" s="61" t="n"/>
      <c r="D58" s="62" t="n"/>
      <c r="E58" s="61" t="n"/>
      <c r="F58" s="61" t="n"/>
      <c r="G58" s="62" t="n"/>
      <c r="H58" s="61" t="n"/>
      <c r="I58" s="61" t="n"/>
      <c r="J58" s="62" t="n"/>
      <c r="K58" s="62" t="n"/>
      <c r="L58" s="65" t="n"/>
      <c r="M58" s="66" t="n"/>
      <c r="N58" s="66" t="n"/>
      <c r="O58" s="66" t="n"/>
      <c r="P58" s="70">
        <f>SUMPRODUCT(VALUE(K52:K56))-(SUM(L52:L56))</f>
        <v/>
      </c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77">
      <c r="A59" s="37" t="n">
        <v>46342</v>
      </c>
      <c r="B59" s="26" t="n"/>
      <c r="C59" s="28" t="n"/>
      <c r="D59" s="29" t="n"/>
      <c r="E59" s="26" t="n"/>
      <c r="F59" s="28" t="n"/>
      <c r="G59" s="31" t="n"/>
      <c r="H59" s="26" t="n"/>
      <c r="I59" s="28" t="n"/>
      <c r="J59" s="31" t="n"/>
      <c r="K59" s="38" t="n"/>
      <c r="L59" s="39" t="n"/>
      <c r="M59" s="34" t="n"/>
      <c r="N59" s="34" t="n"/>
      <c r="O59" s="34" t="n"/>
      <c r="P59" s="72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77">
      <c r="A60" s="37" t="n">
        <v>46343</v>
      </c>
      <c r="B60" s="41" t="n"/>
      <c r="C60" s="42" t="n"/>
      <c r="D60" s="43" t="n"/>
      <c r="E60" s="41" t="n"/>
      <c r="F60" s="42" t="n"/>
      <c r="G60" s="44" t="n"/>
      <c r="H60" s="41" t="n"/>
      <c r="I60" s="42" t="n"/>
      <c r="J60" s="44" t="n"/>
      <c r="K60" s="45" t="n"/>
      <c r="L60" s="46" t="n"/>
      <c r="M60" s="164" t="n"/>
      <c r="N60" s="164" t="n"/>
      <c r="O60" s="164" t="n"/>
      <c r="P60" s="48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77">
      <c r="A61" s="37" t="n">
        <v>46344</v>
      </c>
      <c r="B61" s="41" t="n"/>
      <c r="C61" s="42" t="n"/>
      <c r="D61" s="43" t="n"/>
      <c r="E61" s="41" t="n"/>
      <c r="F61" s="42" t="n"/>
      <c r="G61" s="44" t="n"/>
      <c r="H61" s="41" t="n"/>
      <c r="I61" s="42" t="n"/>
      <c r="J61" s="44" t="n"/>
      <c r="K61" s="45" t="n"/>
      <c r="L61" s="46" t="n"/>
      <c r="M61" s="164" t="n"/>
      <c r="N61" s="164" t="n"/>
      <c r="O61" s="164" t="n"/>
      <c r="P61" s="48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77">
      <c r="A62" s="37" t="n">
        <v>46345</v>
      </c>
      <c r="B62" s="41" t="n"/>
      <c r="C62" s="49" t="n"/>
      <c r="D62" s="50" t="n"/>
      <c r="E62" s="41" t="n"/>
      <c r="F62" s="49" t="n"/>
      <c r="G62" s="44" t="n"/>
      <c r="H62" s="41" t="n"/>
      <c r="I62" s="49" t="n"/>
      <c r="J62" s="44" t="n"/>
      <c r="K62" s="45" t="n"/>
      <c r="L62" s="46" t="n"/>
      <c r="M62" s="164" t="n"/>
      <c r="N62" s="164" t="n"/>
      <c r="O62" s="164" t="n"/>
      <c r="P62" s="48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77">
      <c r="A63" s="37" t="n">
        <v>46346</v>
      </c>
      <c r="B63" s="51" t="n"/>
      <c r="C63" s="52" t="n"/>
      <c r="D63" s="48" t="n"/>
      <c r="E63" s="51" t="n"/>
      <c r="F63" s="52" t="n"/>
      <c r="G63" s="48" t="n"/>
      <c r="H63" s="51" t="n"/>
      <c r="I63" s="52" t="n"/>
      <c r="J63" s="48" t="n"/>
      <c r="K63" s="53" t="n"/>
      <c r="L63" s="54" t="n"/>
      <c r="M63" s="164" t="n"/>
      <c r="N63" s="164" t="n"/>
      <c r="O63" s="164" t="n"/>
      <c r="P63" s="48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77">
      <c r="A64" s="55" t="n"/>
      <c r="B64" s="57" t="n"/>
      <c r="C64" s="57" t="n"/>
      <c r="D64" s="55" t="n"/>
      <c r="E64" s="57" t="n"/>
      <c r="F64" s="57" t="n"/>
      <c r="G64" s="55" t="n"/>
      <c r="H64" s="57" t="n"/>
      <c r="I64" s="57" t="n"/>
      <c r="J64" s="55" t="n"/>
      <c r="K64" s="55" t="n"/>
      <c r="L64" s="54" t="n"/>
      <c r="M64" s="164" t="n"/>
      <c r="N64" s="164" t="n"/>
      <c r="O64" s="164" t="n"/>
      <c r="P64" s="48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77">
      <c r="A65" s="59" t="n"/>
      <c r="B65" s="61" t="n"/>
      <c r="C65" s="61" t="n"/>
      <c r="D65" s="62" t="n"/>
      <c r="E65" s="61" t="n"/>
      <c r="F65" s="61" t="n"/>
      <c r="G65" s="62" t="n"/>
      <c r="H65" s="61" t="n"/>
      <c r="I65" s="61" t="n"/>
      <c r="J65" s="62" t="n"/>
      <c r="K65" s="62" t="n"/>
      <c r="L65" s="65" t="n"/>
      <c r="M65" s="66" t="n"/>
      <c r="N65" s="66" t="n"/>
      <c r="O65" s="66" t="n"/>
      <c r="P65" s="70">
        <f>SUMPRODUCT(VALUE(K59:K63))-(SUM(L59:L63))</f>
        <v/>
      </c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77">
      <c r="A66" s="37" t="n">
        <v>46349</v>
      </c>
      <c r="B66" s="26" t="n"/>
      <c r="C66" s="28" t="n"/>
      <c r="D66" s="29" t="n"/>
      <c r="E66" s="26" t="n"/>
      <c r="F66" s="28" t="n"/>
      <c r="G66" s="31" t="n"/>
      <c r="H66" s="26" t="n"/>
      <c r="I66" s="28" t="n"/>
      <c r="J66" s="31" t="n"/>
      <c r="K66" s="38" t="n"/>
      <c r="L66" s="39" t="n"/>
      <c r="M66" s="34" t="n"/>
      <c r="N66" s="34" t="n"/>
      <c r="O66" s="34" t="n"/>
      <c r="P66" s="72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77">
      <c r="A67" s="37" t="n">
        <v>46350</v>
      </c>
      <c r="B67" s="41" t="n"/>
      <c r="C67" s="42" t="n"/>
      <c r="D67" s="43" t="n"/>
      <c r="E67" s="41" t="n"/>
      <c r="F67" s="42" t="n"/>
      <c r="G67" s="44" t="n"/>
      <c r="H67" s="41" t="n"/>
      <c r="I67" s="42" t="n"/>
      <c r="J67" s="44" t="n"/>
      <c r="K67" s="45" t="n"/>
      <c r="L67" s="46" t="n"/>
      <c r="M67" s="164" t="n"/>
      <c r="N67" s="164" t="n"/>
      <c r="O67" s="164" t="n"/>
      <c r="P67" s="48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77">
      <c r="A68" s="37" t="n">
        <v>46351</v>
      </c>
      <c r="B68" s="41" t="n"/>
      <c r="C68" s="42" t="n"/>
      <c r="D68" s="43" t="n"/>
      <c r="E68" s="41" t="n"/>
      <c r="F68" s="42" t="n"/>
      <c r="G68" s="44" t="n"/>
      <c r="H68" s="41" t="n"/>
      <c r="I68" s="42" t="n"/>
      <c r="J68" s="44" t="n"/>
      <c r="K68" s="45" t="n"/>
      <c r="L68" s="46" t="n"/>
      <c r="M68" s="164" t="n"/>
      <c r="N68" s="164" t="n"/>
      <c r="O68" s="164" t="n"/>
      <c r="P68" s="48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77">
      <c r="A69" s="37" t="n">
        <v>46352</v>
      </c>
      <c r="B69" s="41" t="n"/>
      <c r="C69" s="49" t="n"/>
      <c r="D69" s="50" t="n"/>
      <c r="E69" s="41" t="n"/>
      <c r="F69" s="49" t="n"/>
      <c r="G69" s="44" t="n"/>
      <c r="H69" s="41" t="n"/>
      <c r="I69" s="49" t="n"/>
      <c r="J69" s="44" t="n"/>
      <c r="K69" s="45" t="n"/>
      <c r="L69" s="46" t="n"/>
      <c r="M69" s="164" t="n"/>
      <c r="N69" s="164" t="n"/>
      <c r="O69" s="164" t="n"/>
      <c r="P69" s="48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77">
      <c r="A70" s="37" t="n">
        <v>46353</v>
      </c>
      <c r="B70" s="51" t="n"/>
      <c r="C70" s="52" t="n"/>
      <c r="D70" s="48" t="n"/>
      <c r="E70" s="51" t="n"/>
      <c r="F70" s="52" t="n"/>
      <c r="G70" s="48" t="n"/>
      <c r="H70" s="51" t="n"/>
      <c r="I70" s="52" t="n"/>
      <c r="J70" s="48" t="n"/>
      <c r="K70" s="53" t="n"/>
      <c r="L70" s="54" t="n"/>
      <c r="M70" s="164" t="n"/>
      <c r="N70" s="164" t="n"/>
      <c r="O70" s="164" t="n"/>
      <c r="P70" s="48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7">
      <c r="A71" s="55" t="n"/>
      <c r="B71" s="57" t="n"/>
      <c r="C71" s="57" t="n"/>
      <c r="D71" s="55" t="n"/>
      <c r="E71" s="57" t="n"/>
      <c r="F71" s="57" t="n"/>
      <c r="G71" s="55" t="n"/>
      <c r="H71" s="57" t="n"/>
      <c r="I71" s="57" t="n"/>
      <c r="J71" s="55" t="n"/>
      <c r="K71" s="55" t="n"/>
      <c r="L71" s="54" t="n"/>
      <c r="M71" s="164" t="n"/>
      <c r="N71" s="164" t="n"/>
      <c r="O71" s="164" t="n"/>
      <c r="P71" s="48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77">
      <c r="A72" s="59" t="n"/>
      <c r="B72" s="61" t="n"/>
      <c r="C72" s="61" t="n"/>
      <c r="D72" s="62" t="n"/>
      <c r="E72" s="61" t="n"/>
      <c r="F72" s="61" t="n"/>
      <c r="G72" s="62" t="n"/>
      <c r="H72" s="61" t="n"/>
      <c r="I72" s="61" t="n"/>
      <c r="J72" s="62" t="n"/>
      <c r="K72" s="62" t="n"/>
      <c r="L72" s="65" t="n"/>
      <c r="M72" s="66" t="n"/>
      <c r="N72" s="66" t="n"/>
      <c r="O72" s="66" t="n"/>
      <c r="P72" s="70">
        <f>SUMPRODUCT(VALUE(K66:K70))-(SUM(L66:L70))</f>
        <v/>
      </c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77">
      <c r="A73" s="37" t="n">
        <v>46356</v>
      </c>
      <c r="B73" s="26" t="n"/>
      <c r="C73" s="28" t="n"/>
      <c r="D73" s="29" t="n"/>
      <c r="E73" s="26" t="n"/>
      <c r="F73" s="28" t="n"/>
      <c r="G73" s="31" t="n"/>
      <c r="H73" s="26" t="n"/>
      <c r="I73" s="28" t="n"/>
      <c r="J73" s="31" t="n"/>
      <c r="K73" s="38" t="n"/>
      <c r="L73" s="39" t="n"/>
      <c r="M73" s="34" t="n"/>
      <c r="N73" s="34" t="n"/>
      <c r="O73" s="34" t="n"/>
      <c r="P73" s="72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77">
      <c r="A74" s="37" t="n">
        <v>46357</v>
      </c>
      <c r="B74" s="41" t="n"/>
      <c r="C74" s="42" t="n"/>
      <c r="D74" s="43" t="n"/>
      <c r="E74" s="41" t="n"/>
      <c r="F74" s="42" t="n"/>
      <c r="G74" s="44" t="n"/>
      <c r="H74" s="41" t="n"/>
      <c r="I74" s="42" t="n"/>
      <c r="J74" s="44" t="n"/>
      <c r="K74" s="45" t="n"/>
      <c r="L74" s="46" t="n"/>
      <c r="M74" s="164" t="n"/>
      <c r="N74" s="164" t="n"/>
      <c r="O74" s="164" t="n"/>
      <c r="P74" s="48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77">
      <c r="A75" s="37" t="n">
        <v>46358</v>
      </c>
      <c r="B75" s="41" t="n"/>
      <c r="C75" s="42" t="n"/>
      <c r="D75" s="43" t="n"/>
      <c r="E75" s="41" t="n"/>
      <c r="F75" s="42" t="n"/>
      <c r="G75" s="44" t="n"/>
      <c r="H75" s="41" t="n"/>
      <c r="I75" s="42" t="n"/>
      <c r="J75" s="44" t="n"/>
      <c r="K75" s="45" t="n"/>
      <c r="L75" s="46" t="n"/>
      <c r="M75" s="164" t="n"/>
      <c r="N75" s="164" t="n"/>
      <c r="O75" s="164" t="n"/>
      <c r="P75" s="48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77">
      <c r="A76" s="37" t="n">
        <v>46359</v>
      </c>
      <c r="B76" s="41" t="n"/>
      <c r="C76" s="49" t="n"/>
      <c r="D76" s="50" t="n"/>
      <c r="E76" s="41" t="n"/>
      <c r="F76" s="49" t="n"/>
      <c r="G76" s="44" t="n"/>
      <c r="H76" s="41" t="n"/>
      <c r="I76" s="49" t="n"/>
      <c r="J76" s="44" t="n"/>
      <c r="K76" s="45" t="n"/>
      <c r="L76" s="46" t="n"/>
      <c r="M76" s="164" t="n"/>
      <c r="N76" s="164" t="n"/>
      <c r="O76" s="164" t="n"/>
      <c r="P76" s="48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77">
      <c r="A77" s="37" t="n">
        <v>46360</v>
      </c>
      <c r="B77" s="51" t="n"/>
      <c r="C77" s="52" t="n"/>
      <c r="D77" s="48" t="n"/>
      <c r="E77" s="51" t="n"/>
      <c r="F77" s="52" t="n"/>
      <c r="G77" s="48" t="n"/>
      <c r="H77" s="51" t="n"/>
      <c r="I77" s="52" t="n"/>
      <c r="J77" s="48" t="n"/>
      <c r="K77" s="53" t="n"/>
      <c r="L77" s="54" t="n"/>
      <c r="M77" s="164" t="n"/>
      <c r="N77" s="164" t="n"/>
      <c r="O77" s="164" t="n"/>
      <c r="P77" s="48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77">
      <c r="A78" s="55" t="n"/>
      <c r="B78" s="57" t="n"/>
      <c r="C78" s="57" t="n"/>
      <c r="D78" s="55" t="n"/>
      <c r="E78" s="57" t="n"/>
      <c r="F78" s="57" t="n"/>
      <c r="G78" s="55" t="n"/>
      <c r="H78" s="57" t="n"/>
      <c r="I78" s="57" t="n"/>
      <c r="J78" s="55" t="n"/>
      <c r="K78" s="55" t="n"/>
      <c r="L78" s="54" t="n"/>
      <c r="M78" s="164" t="n"/>
      <c r="N78" s="164" t="n"/>
      <c r="O78" s="164" t="n"/>
      <c r="P78" s="48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77">
      <c r="A79" s="59" t="n"/>
      <c r="B79" s="61" t="n"/>
      <c r="C79" s="61" t="n"/>
      <c r="D79" s="62" t="n"/>
      <c r="E79" s="61" t="n"/>
      <c r="F79" s="61" t="n"/>
      <c r="G79" s="62" t="n"/>
      <c r="H79" s="61" t="n"/>
      <c r="I79" s="61" t="n"/>
      <c r="J79" s="62" t="n"/>
      <c r="K79" s="62" t="n"/>
      <c r="L79" s="65" t="n"/>
      <c r="M79" s="66" t="n"/>
      <c r="N79" s="66" t="n"/>
      <c r="O79" s="66" t="n"/>
      <c r="P79" s="70">
        <f>SUMPRODUCT(VALUE(K73:K77))-(SUM(L73:L77))</f>
        <v/>
      </c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77">
      <c r="A80" s="37" t="n">
        <v>46363</v>
      </c>
      <c r="B80" s="26" t="n"/>
      <c r="C80" s="28" t="n"/>
      <c r="D80" s="29" t="n"/>
      <c r="E80" s="26" t="n"/>
      <c r="F80" s="28" t="n"/>
      <c r="G80" s="31" t="n"/>
      <c r="H80" s="26" t="n"/>
      <c r="I80" s="28" t="n"/>
      <c r="J80" s="31" t="n"/>
      <c r="K80" s="38" t="n"/>
      <c r="L80" s="39" t="n"/>
      <c r="M80" s="34" t="n"/>
      <c r="N80" s="34" t="n"/>
      <c r="O80" s="34" t="n"/>
      <c r="P80" s="72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77">
      <c r="A81" s="37" t="n">
        <v>46364</v>
      </c>
      <c r="B81" s="41" t="n"/>
      <c r="C81" s="42" t="n"/>
      <c r="D81" s="43" t="n"/>
      <c r="E81" s="41" t="n"/>
      <c r="F81" s="42" t="n"/>
      <c r="G81" s="44" t="n"/>
      <c r="H81" s="41" t="n"/>
      <c r="I81" s="42" t="n"/>
      <c r="J81" s="44" t="n"/>
      <c r="K81" s="45" t="n"/>
      <c r="L81" s="46" t="n"/>
      <c r="M81" s="164" t="n"/>
      <c r="N81" s="164" t="n"/>
      <c r="O81" s="164" t="n"/>
      <c r="P81" s="48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77">
      <c r="A82" s="37" t="n">
        <v>46365</v>
      </c>
      <c r="B82" s="41" t="n"/>
      <c r="C82" s="42" t="n"/>
      <c r="D82" s="43" t="n"/>
      <c r="E82" s="41" t="n"/>
      <c r="F82" s="42" t="n"/>
      <c r="G82" s="44" t="n"/>
      <c r="H82" s="41" t="n"/>
      <c r="I82" s="42" t="n"/>
      <c r="J82" s="44" t="n"/>
      <c r="K82" s="45" t="n"/>
      <c r="L82" s="46" t="n"/>
      <c r="M82" s="164" t="n"/>
      <c r="N82" s="164" t="n"/>
      <c r="O82" s="164" t="n"/>
      <c r="P82" s="48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77">
      <c r="A83" s="37" t="n">
        <v>46366</v>
      </c>
      <c r="B83" s="41" t="n"/>
      <c r="C83" s="49" t="n"/>
      <c r="D83" s="50" t="n"/>
      <c r="E83" s="41" t="n"/>
      <c r="F83" s="49" t="n"/>
      <c r="G83" s="44" t="n"/>
      <c r="H83" s="41" t="n"/>
      <c r="I83" s="49" t="n"/>
      <c r="J83" s="44" t="n"/>
      <c r="K83" s="45" t="n"/>
      <c r="L83" s="46" t="n"/>
      <c r="M83" s="164" t="n"/>
      <c r="N83" s="164" t="n"/>
      <c r="O83" s="164" t="n"/>
      <c r="P83" s="48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77">
      <c r="A84" s="37" t="n">
        <v>46367</v>
      </c>
      <c r="B84" s="51" t="n"/>
      <c r="C84" s="52" t="n"/>
      <c r="D84" s="48" t="n"/>
      <c r="E84" s="51" t="n"/>
      <c r="F84" s="52" t="n"/>
      <c r="G84" s="48" t="n"/>
      <c r="H84" s="51" t="n"/>
      <c r="I84" s="52" t="n"/>
      <c r="J84" s="48" t="n"/>
      <c r="K84" s="53" t="n"/>
      <c r="L84" s="54" t="n"/>
      <c r="M84" s="164" t="n"/>
      <c r="N84" s="164" t="n"/>
      <c r="O84" s="164" t="n"/>
      <c r="P84" s="48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77">
      <c r="A85" s="55" t="n"/>
      <c r="B85" s="57" t="n"/>
      <c r="C85" s="57" t="n"/>
      <c r="D85" s="55" t="n"/>
      <c r="E85" s="57" t="n"/>
      <c r="F85" s="57" t="n"/>
      <c r="G85" s="55" t="n"/>
      <c r="H85" s="57" t="n"/>
      <c r="I85" s="57" t="n"/>
      <c r="J85" s="55" t="n"/>
      <c r="K85" s="55" t="n"/>
      <c r="L85" s="54" t="n"/>
      <c r="M85" s="164" t="n"/>
      <c r="N85" s="164" t="n"/>
      <c r="O85" s="164" t="n"/>
      <c r="P85" s="48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77">
      <c r="A86" s="59" t="n"/>
      <c r="B86" s="61" t="n"/>
      <c r="C86" s="61" t="n"/>
      <c r="D86" s="62" t="n"/>
      <c r="E86" s="61" t="n"/>
      <c r="F86" s="61" t="n"/>
      <c r="G86" s="62" t="n"/>
      <c r="H86" s="61" t="n"/>
      <c r="I86" s="61" t="n"/>
      <c r="J86" s="62" t="n"/>
      <c r="K86" s="62" t="n"/>
      <c r="L86" s="65" t="n"/>
      <c r="M86" s="66" t="n"/>
      <c r="N86" s="66" t="n"/>
      <c r="O86" s="66" t="n"/>
      <c r="P86" s="70">
        <f>SUMPRODUCT(VALUE(K80:K84))-(SUM(L80:L84))</f>
        <v/>
      </c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77">
      <c r="A87" s="37" t="n">
        <v>46370</v>
      </c>
      <c r="B87" s="26" t="n"/>
      <c r="C87" s="28" t="n"/>
      <c r="D87" s="29" t="n"/>
      <c r="E87" s="26" t="n"/>
      <c r="F87" s="28" t="n"/>
      <c r="G87" s="31" t="n"/>
      <c r="H87" s="26" t="n"/>
      <c r="I87" s="28" t="n"/>
      <c r="J87" s="31" t="n"/>
      <c r="K87" s="38" t="n"/>
      <c r="L87" s="39" t="n"/>
      <c r="M87" s="34" t="n"/>
      <c r="N87" s="34" t="n"/>
      <c r="O87" s="34" t="n"/>
      <c r="P87" s="72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77">
      <c r="A88" s="37" t="n">
        <v>46371</v>
      </c>
      <c r="B88" s="41" t="n"/>
      <c r="C88" s="42" t="n"/>
      <c r="D88" s="43" t="n"/>
      <c r="E88" s="41" t="n"/>
      <c r="F88" s="42" t="n"/>
      <c r="G88" s="44" t="n"/>
      <c r="H88" s="41" t="n"/>
      <c r="I88" s="42" t="n"/>
      <c r="J88" s="44" t="n"/>
      <c r="K88" s="45" t="n"/>
      <c r="L88" s="46" t="n"/>
      <c r="M88" s="164" t="n"/>
      <c r="N88" s="164" t="n"/>
      <c r="O88" s="164" t="n"/>
      <c r="P88" s="48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77">
      <c r="A89" s="37" t="n">
        <v>46372</v>
      </c>
      <c r="B89" s="41" t="n"/>
      <c r="C89" s="42" t="n"/>
      <c r="D89" s="43" t="n"/>
      <c r="E89" s="41" t="n"/>
      <c r="F89" s="42" t="n"/>
      <c r="G89" s="44" t="n"/>
      <c r="H89" s="41" t="n"/>
      <c r="I89" s="42" t="n"/>
      <c r="J89" s="44" t="n"/>
      <c r="K89" s="45" t="n"/>
      <c r="L89" s="46" t="n"/>
      <c r="M89" s="164" t="n"/>
      <c r="N89" s="164" t="n"/>
      <c r="O89" s="164" t="n"/>
      <c r="P89" s="48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77">
      <c r="A90" s="37" t="n">
        <v>46373</v>
      </c>
      <c r="B90" s="41" t="n"/>
      <c r="C90" s="49" t="n"/>
      <c r="D90" s="50" t="n"/>
      <c r="E90" s="41" t="n"/>
      <c r="F90" s="49" t="n"/>
      <c r="G90" s="44" t="n"/>
      <c r="H90" s="41" t="n"/>
      <c r="I90" s="49" t="n"/>
      <c r="J90" s="44" t="n"/>
      <c r="K90" s="45" t="n"/>
      <c r="L90" s="46" t="n"/>
      <c r="M90" s="164" t="n"/>
      <c r="N90" s="164" t="n"/>
      <c r="O90" s="164" t="n"/>
      <c r="P90" s="48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77">
      <c r="A91" s="37" t="n">
        <v>46374</v>
      </c>
      <c r="B91" s="51" t="n"/>
      <c r="C91" s="52" t="n"/>
      <c r="D91" s="48" t="n"/>
      <c r="E91" s="51" t="n"/>
      <c r="F91" s="52" t="n"/>
      <c r="G91" s="48" t="n"/>
      <c r="H91" s="51" t="n"/>
      <c r="I91" s="52" t="n"/>
      <c r="J91" s="48" t="n"/>
      <c r="K91" s="53" t="n"/>
      <c r="L91" s="54" t="n"/>
      <c r="M91" s="164" t="n"/>
      <c r="N91" s="164" t="n"/>
      <c r="O91" s="164" t="n"/>
      <c r="P91" s="48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77">
      <c r="A92" s="55" t="n"/>
      <c r="B92" s="57" t="n"/>
      <c r="C92" s="57" t="n"/>
      <c r="D92" s="55" t="n"/>
      <c r="E92" s="57" t="n"/>
      <c r="F92" s="57" t="n"/>
      <c r="G92" s="55" t="n"/>
      <c r="H92" s="57" t="n"/>
      <c r="I92" s="57" t="n"/>
      <c r="J92" s="55" t="n"/>
      <c r="K92" s="55" t="n"/>
      <c r="L92" s="54" t="n"/>
      <c r="M92" s="164" t="n"/>
      <c r="N92" s="164" t="n"/>
      <c r="O92" s="164" t="n"/>
      <c r="P92" s="48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77">
      <c r="A93" s="59" t="n"/>
      <c r="B93" s="61" t="n"/>
      <c r="C93" s="61" t="n"/>
      <c r="D93" s="62" t="n"/>
      <c r="E93" s="61" t="n"/>
      <c r="F93" s="61" t="n"/>
      <c r="G93" s="62" t="n"/>
      <c r="H93" s="61" t="n"/>
      <c r="I93" s="61" t="n"/>
      <c r="J93" s="62" t="n"/>
      <c r="K93" s="62" t="n"/>
      <c r="L93" s="65" t="n"/>
      <c r="M93" s="66" t="n"/>
      <c r="N93" s="66" t="n"/>
      <c r="O93" s="66" t="n"/>
      <c r="P93" s="70">
        <f>SUMPRODUCT(VALUE(K87:K91))-(SUM(L87:L91))</f>
        <v/>
      </c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77">
      <c r="A94" s="37" t="n">
        <v>46377</v>
      </c>
      <c r="B94" s="26" t="n"/>
      <c r="C94" s="28" t="n"/>
      <c r="D94" s="29" t="n"/>
      <c r="E94" s="26" t="n"/>
      <c r="F94" s="28" t="n"/>
      <c r="G94" s="31" t="n"/>
      <c r="H94" s="26" t="n"/>
      <c r="I94" s="28" t="n"/>
      <c r="J94" s="31" t="n"/>
      <c r="K94" s="38" t="n"/>
      <c r="L94" s="39" t="n"/>
      <c r="M94" s="34" t="n"/>
      <c r="N94" s="34" t="n"/>
      <c r="O94" s="34" t="n"/>
      <c r="P94" s="72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77">
      <c r="A95" s="37" t="n">
        <v>46378</v>
      </c>
      <c r="B95" s="41" t="n"/>
      <c r="C95" s="42" t="n"/>
      <c r="D95" s="43" t="n"/>
      <c r="E95" s="41" t="n"/>
      <c r="F95" s="42" t="n"/>
      <c r="G95" s="44" t="n"/>
      <c r="H95" s="41" t="n"/>
      <c r="I95" s="42" t="n"/>
      <c r="J95" s="44" t="n"/>
      <c r="K95" s="45" t="n"/>
      <c r="L95" s="46" t="n"/>
      <c r="M95" s="164" t="n"/>
      <c r="N95" s="164" t="n"/>
      <c r="O95" s="164" t="n"/>
      <c r="P95" s="48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77">
      <c r="A96" s="37" t="n">
        <v>46379</v>
      </c>
      <c r="B96" s="41" t="n"/>
      <c r="C96" s="42" t="n"/>
      <c r="D96" s="43" t="n"/>
      <c r="E96" s="41" t="n"/>
      <c r="F96" s="42" t="n"/>
      <c r="G96" s="44" t="n"/>
      <c r="H96" s="41" t="n"/>
      <c r="I96" s="42" t="n"/>
      <c r="J96" s="44" t="n"/>
      <c r="K96" s="45" t="n"/>
      <c r="L96" s="46" t="n"/>
      <c r="M96" s="164" t="n"/>
      <c r="N96" s="164" t="n"/>
      <c r="O96" s="164" t="n"/>
      <c r="P96" s="48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77">
      <c r="A97" s="37" t="n">
        <v>46380</v>
      </c>
      <c r="B97" s="41" t="n"/>
      <c r="C97" s="49" t="n"/>
      <c r="D97" s="50" t="n"/>
      <c r="E97" s="41" t="n"/>
      <c r="F97" s="49" t="n"/>
      <c r="G97" s="44" t="n"/>
      <c r="H97" s="41" t="n"/>
      <c r="I97" s="49" t="n"/>
      <c r="J97" s="44" t="n"/>
      <c r="K97" s="45" t="n"/>
      <c r="L97" s="46" t="n"/>
      <c r="M97" s="164" t="n"/>
      <c r="N97" s="164" t="n"/>
      <c r="O97" s="164" t="n"/>
      <c r="P97" s="48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77">
      <c r="A98" s="37" t="n">
        <v>46381</v>
      </c>
      <c r="B98" s="51" t="n"/>
      <c r="C98" s="52" t="n"/>
      <c r="D98" s="48" t="n"/>
      <c r="E98" s="51" t="n"/>
      <c r="F98" s="52" t="n"/>
      <c r="G98" s="48" t="n"/>
      <c r="H98" s="51" t="n"/>
      <c r="I98" s="52" t="n"/>
      <c r="J98" s="48" t="n"/>
      <c r="K98" s="53" t="n"/>
      <c r="L98" s="54" t="n"/>
      <c r="M98" s="164" t="n"/>
      <c r="N98" s="164" t="n"/>
      <c r="O98" s="164" t="n"/>
      <c r="P98" s="48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77">
      <c r="A99" s="55" t="n"/>
      <c r="B99" s="57" t="n"/>
      <c r="C99" s="57" t="n"/>
      <c r="D99" s="55" t="n"/>
      <c r="E99" s="57" t="n"/>
      <c r="F99" s="57" t="n"/>
      <c r="G99" s="55" t="n"/>
      <c r="H99" s="57" t="n"/>
      <c r="I99" s="57" t="n"/>
      <c r="J99" s="55" t="n"/>
      <c r="K99" s="55" t="n"/>
      <c r="L99" s="54" t="n"/>
      <c r="M99" s="164" t="n"/>
      <c r="N99" s="164" t="n"/>
      <c r="O99" s="164" t="n"/>
      <c r="P99" s="48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77">
      <c r="A100" s="59" t="n"/>
      <c r="B100" s="61" t="n"/>
      <c r="C100" s="61" t="n"/>
      <c r="D100" s="62" t="n"/>
      <c r="E100" s="61" t="n"/>
      <c r="F100" s="61" t="n"/>
      <c r="G100" s="62" t="n"/>
      <c r="H100" s="61" t="n"/>
      <c r="I100" s="61" t="n"/>
      <c r="J100" s="62" t="n"/>
      <c r="K100" s="62" t="n"/>
      <c r="L100" s="65" t="n"/>
      <c r="M100" s="66" t="n"/>
      <c r="N100" s="66" t="n"/>
      <c r="O100" s="66" t="n"/>
      <c r="P100" s="70">
        <f>SUMPRODUCT(VALUE(K94:K98))-(SUM(L94:L98))</f>
        <v/>
      </c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77">
      <c r="A101" s="37" t="n">
        <v>46384</v>
      </c>
      <c r="B101" s="26" t="n"/>
      <c r="C101" s="28" t="n"/>
      <c r="D101" s="29" t="n"/>
      <c r="E101" s="26" t="n"/>
      <c r="F101" s="28" t="n"/>
      <c r="G101" s="31" t="n"/>
      <c r="H101" s="26" t="n"/>
      <c r="I101" s="28" t="n"/>
      <c r="J101" s="31" t="n"/>
      <c r="K101" s="38" t="n"/>
      <c r="L101" s="39" t="n"/>
      <c r="M101" s="34" t="n"/>
      <c r="N101" s="34" t="n"/>
      <c r="O101" s="34" t="n"/>
      <c r="P101" s="72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77">
      <c r="A102" s="37" t="n">
        <v>46385</v>
      </c>
      <c r="B102" s="41" t="n"/>
      <c r="C102" s="42" t="n"/>
      <c r="D102" s="43" t="n"/>
      <c r="E102" s="41" t="n"/>
      <c r="F102" s="42" t="n"/>
      <c r="G102" s="44" t="n"/>
      <c r="H102" s="41" t="n"/>
      <c r="I102" s="42" t="n"/>
      <c r="J102" s="44" t="n"/>
      <c r="K102" s="45" t="n"/>
      <c r="L102" s="46" t="n"/>
      <c r="M102" s="164" t="n"/>
      <c r="N102" s="164" t="n"/>
      <c r="O102" s="164" t="n"/>
      <c r="P102" s="48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77">
      <c r="A103" s="37" t="n">
        <v>46386</v>
      </c>
      <c r="B103" s="41" t="n"/>
      <c r="C103" s="42" t="n"/>
      <c r="D103" s="43" t="n"/>
      <c r="E103" s="41" t="n"/>
      <c r="F103" s="42" t="n"/>
      <c r="G103" s="44" t="n"/>
      <c r="H103" s="41" t="n"/>
      <c r="I103" s="42" t="n"/>
      <c r="J103" s="44" t="n"/>
      <c r="K103" s="45" t="n"/>
      <c r="L103" s="46" t="n"/>
      <c r="M103" s="164" t="n"/>
      <c r="N103" s="164" t="n"/>
      <c r="O103" s="164" t="n"/>
      <c r="P103" s="48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77">
      <c r="A104" s="37" t="n">
        <v>46387</v>
      </c>
      <c r="B104" s="41" t="n"/>
      <c r="C104" s="49" t="n"/>
      <c r="D104" s="50" t="n"/>
      <c r="E104" s="41" t="n"/>
      <c r="F104" s="49" t="n"/>
      <c r="G104" s="44" t="n"/>
      <c r="H104" s="41" t="n"/>
      <c r="I104" s="49" t="n"/>
      <c r="J104" s="44" t="n"/>
      <c r="K104" s="45" t="n"/>
      <c r="L104" s="46" t="n"/>
      <c r="M104" s="164" t="n"/>
      <c r="N104" s="164" t="n"/>
      <c r="O104" s="164" t="n"/>
      <c r="P104" s="48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77">
      <c r="A105" s="37" t="n">
        <v>46388</v>
      </c>
      <c r="B105" s="51" t="n"/>
      <c r="C105" s="52" t="n"/>
      <c r="D105" s="48" t="n"/>
      <c r="E105" s="51" t="n"/>
      <c r="F105" s="52" t="n"/>
      <c r="G105" s="48" t="n"/>
      <c r="H105" s="51" t="n"/>
      <c r="I105" s="52" t="n"/>
      <c r="J105" s="48" t="n"/>
      <c r="K105" s="53" t="n"/>
      <c r="L105" s="54" t="n"/>
      <c r="M105" s="164" t="n"/>
      <c r="N105" s="164" t="n"/>
      <c r="O105" s="164" t="n"/>
      <c r="P105" s="48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77">
      <c r="A106" s="55" t="n"/>
      <c r="B106" s="57" t="n"/>
      <c r="C106" s="57" t="n"/>
      <c r="D106" s="55" t="n"/>
      <c r="E106" s="57" t="n"/>
      <c r="F106" s="57" t="n"/>
      <c r="G106" s="55" t="n"/>
      <c r="H106" s="57" t="n"/>
      <c r="I106" s="57" t="n"/>
      <c r="J106" s="55" t="n"/>
      <c r="K106" s="55" t="n"/>
      <c r="L106" s="54" t="n"/>
      <c r="M106" s="164" t="n"/>
      <c r="N106" s="164" t="n"/>
      <c r="O106" s="164" t="n"/>
      <c r="P106" s="48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77">
      <c r="A107" s="59" t="n"/>
      <c r="B107" s="61" t="n"/>
      <c r="C107" s="61" t="n"/>
      <c r="D107" s="62" t="n"/>
      <c r="E107" s="61" t="n"/>
      <c r="F107" s="61" t="n"/>
      <c r="G107" s="62" t="n"/>
      <c r="H107" s="61" t="n"/>
      <c r="I107" s="61" t="n"/>
      <c r="J107" s="62" t="n"/>
      <c r="K107" s="62" t="n"/>
      <c r="L107" s="65" t="n"/>
      <c r="M107" s="66" t="n"/>
      <c r="N107" s="66" t="n"/>
      <c r="O107" s="66" t="n"/>
      <c r="P107" s="70">
        <f>SUMPRODUCT(VALUE(K101:K105))-(SUM(L101:L105))</f>
        <v/>
      </c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77">
      <c r="A108" s="37" t="n">
        <v>46391</v>
      </c>
      <c r="B108" s="26" t="n"/>
      <c r="C108" s="28" t="n"/>
      <c r="D108" s="29" t="n"/>
      <c r="E108" s="26" t="n"/>
      <c r="F108" s="28" t="n"/>
      <c r="G108" s="31" t="n"/>
      <c r="H108" s="26" t="n"/>
      <c r="I108" s="28" t="n"/>
      <c r="J108" s="31" t="n"/>
      <c r="K108" s="38" t="n"/>
      <c r="L108" s="39" t="n"/>
      <c r="M108" s="34" t="n"/>
      <c r="N108" s="34" t="n"/>
      <c r="O108" s="34" t="n"/>
      <c r="P108" s="72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77">
      <c r="A109" s="37" t="n">
        <v>46392</v>
      </c>
      <c r="B109" s="41" t="n"/>
      <c r="C109" s="42" t="n"/>
      <c r="D109" s="43" t="n"/>
      <c r="E109" s="41" t="n"/>
      <c r="F109" s="42" t="n"/>
      <c r="G109" s="44" t="n"/>
      <c r="H109" s="41" t="n"/>
      <c r="I109" s="42" t="n"/>
      <c r="J109" s="44" t="n"/>
      <c r="K109" s="45" t="n"/>
      <c r="L109" s="46" t="n"/>
      <c r="M109" s="164" t="n"/>
      <c r="N109" s="164" t="n"/>
      <c r="O109" s="164" t="n"/>
      <c r="P109" s="48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77">
      <c r="A110" s="37" t="n">
        <v>46393</v>
      </c>
      <c r="B110" s="41" t="n"/>
      <c r="C110" s="42" t="n"/>
      <c r="D110" s="43" t="n"/>
      <c r="E110" s="41" t="n"/>
      <c r="F110" s="42" t="n"/>
      <c r="G110" s="44" t="n"/>
      <c r="H110" s="41" t="n"/>
      <c r="I110" s="42" t="n"/>
      <c r="J110" s="44" t="n"/>
      <c r="K110" s="45" t="n"/>
      <c r="L110" s="46" t="n"/>
      <c r="M110" s="164" t="n"/>
      <c r="N110" s="164" t="n"/>
      <c r="O110" s="164" t="n"/>
      <c r="P110" s="48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77">
      <c r="A111" s="37" t="n">
        <v>46394</v>
      </c>
      <c r="B111" s="41" t="n"/>
      <c r="C111" s="49" t="n"/>
      <c r="D111" s="50" t="n"/>
      <c r="E111" s="41" t="n"/>
      <c r="F111" s="49" t="n"/>
      <c r="G111" s="44" t="n"/>
      <c r="H111" s="41" t="n"/>
      <c r="I111" s="49" t="n"/>
      <c r="J111" s="44" t="n"/>
      <c r="K111" s="45" t="n"/>
      <c r="L111" s="46" t="n"/>
      <c r="M111" s="164" t="n"/>
      <c r="N111" s="164" t="n"/>
      <c r="O111" s="164" t="n"/>
      <c r="P111" s="48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77">
      <c r="A112" s="37" t="n">
        <v>46395</v>
      </c>
      <c r="B112" s="51" t="n"/>
      <c r="C112" s="52" t="n"/>
      <c r="D112" s="48" t="n"/>
      <c r="E112" s="51" t="n"/>
      <c r="F112" s="52" t="n"/>
      <c r="G112" s="48" t="n"/>
      <c r="H112" s="51" t="n"/>
      <c r="I112" s="52" t="n"/>
      <c r="J112" s="48" t="n"/>
      <c r="K112" s="53" t="n"/>
      <c r="L112" s="54" t="n"/>
      <c r="M112" s="164" t="n"/>
      <c r="N112" s="164" t="n"/>
      <c r="O112" s="164" t="n"/>
      <c r="P112" s="48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77">
      <c r="A113" s="55" t="n"/>
      <c r="B113" s="57" t="n"/>
      <c r="C113" s="57" t="n"/>
      <c r="D113" s="55" t="n"/>
      <c r="E113" s="57" t="n"/>
      <c r="F113" s="57" t="n"/>
      <c r="G113" s="55" t="n"/>
      <c r="H113" s="57" t="n"/>
      <c r="I113" s="57" t="n"/>
      <c r="J113" s="55" t="n"/>
      <c r="K113" s="55" t="n"/>
      <c r="L113" s="54" t="n"/>
      <c r="M113" s="164" t="n"/>
      <c r="N113" s="164" t="n"/>
      <c r="O113" s="164" t="n"/>
      <c r="P113" s="48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77">
      <c r="A114" s="59" t="n"/>
      <c r="B114" s="61" t="n"/>
      <c r="C114" s="61" t="n"/>
      <c r="D114" s="62" t="n"/>
      <c r="E114" s="61" t="n"/>
      <c r="F114" s="61" t="n"/>
      <c r="G114" s="62" t="n"/>
      <c r="H114" s="61" t="n"/>
      <c r="I114" s="61" t="n"/>
      <c r="J114" s="62" t="n"/>
      <c r="K114" s="62" t="n"/>
      <c r="L114" s="65" t="n"/>
      <c r="M114" s="66" t="n"/>
      <c r="N114" s="66" t="n"/>
      <c r="O114" s="66" t="n"/>
      <c r="P114" s="70">
        <f>SUMPRODUCT(VALUE(K108:K112))-(SUM(L108:L112))</f>
        <v/>
      </c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77">
      <c r="A115" s="37" t="n">
        <v>46398</v>
      </c>
      <c r="B115" s="26" t="n"/>
      <c r="C115" s="28" t="n"/>
      <c r="D115" s="29" t="n"/>
      <c r="E115" s="26" t="n"/>
      <c r="F115" s="28" t="n"/>
      <c r="G115" s="31" t="n"/>
      <c r="H115" s="26" t="n"/>
      <c r="I115" s="28" t="n"/>
      <c r="J115" s="31" t="n"/>
      <c r="K115" s="38" t="n"/>
      <c r="L115" s="39" t="n"/>
      <c r="M115" s="34" t="n"/>
      <c r="N115" s="34" t="n"/>
      <c r="O115" s="34" t="n"/>
      <c r="P115" s="72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77">
      <c r="A116" s="37" t="n">
        <v>46399</v>
      </c>
      <c r="B116" s="41" t="n"/>
      <c r="C116" s="42" t="n"/>
      <c r="D116" s="43" t="n"/>
      <c r="E116" s="41" t="n"/>
      <c r="F116" s="42" t="n"/>
      <c r="G116" s="44" t="n"/>
      <c r="H116" s="41" t="n"/>
      <c r="I116" s="42" t="n"/>
      <c r="J116" s="44" t="n"/>
      <c r="K116" s="45" t="n"/>
      <c r="L116" s="46" t="n"/>
      <c r="M116" s="164" t="n"/>
      <c r="N116" s="164" t="n"/>
      <c r="O116" s="164" t="n"/>
      <c r="P116" s="48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77">
      <c r="A117" s="37" t="n">
        <v>46400</v>
      </c>
      <c r="B117" s="41" t="n"/>
      <c r="C117" s="42" t="n"/>
      <c r="D117" s="43" t="n"/>
      <c r="E117" s="41" t="n"/>
      <c r="F117" s="42" t="n"/>
      <c r="G117" s="44" t="n"/>
      <c r="H117" s="41" t="n"/>
      <c r="I117" s="42" t="n"/>
      <c r="J117" s="44" t="n"/>
      <c r="K117" s="45" t="n"/>
      <c r="L117" s="46" t="n"/>
      <c r="M117" s="164" t="n"/>
      <c r="N117" s="164" t="n"/>
      <c r="O117" s="164" t="n"/>
      <c r="P117" s="48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77">
      <c r="A118" s="37" t="n">
        <v>46401</v>
      </c>
      <c r="B118" s="41" t="n"/>
      <c r="C118" s="49" t="n"/>
      <c r="D118" s="50" t="n"/>
      <c r="E118" s="41" t="n"/>
      <c r="F118" s="49" t="n"/>
      <c r="G118" s="44" t="n"/>
      <c r="H118" s="41" t="n"/>
      <c r="I118" s="49" t="n"/>
      <c r="J118" s="44" t="n"/>
      <c r="K118" s="45" t="n"/>
      <c r="L118" s="46" t="n"/>
      <c r="M118" s="164" t="n"/>
      <c r="N118" s="164" t="n"/>
      <c r="O118" s="164" t="n"/>
      <c r="P118" s="48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77">
      <c r="A119" s="37" t="n">
        <v>46402</v>
      </c>
      <c r="B119" s="51" t="n"/>
      <c r="C119" s="52" t="n"/>
      <c r="D119" s="48" t="n"/>
      <c r="E119" s="51" t="n"/>
      <c r="F119" s="52" t="n"/>
      <c r="G119" s="48" t="n"/>
      <c r="H119" s="51" t="n"/>
      <c r="I119" s="52" t="n"/>
      <c r="J119" s="48" t="n"/>
      <c r="K119" s="53" t="n"/>
      <c r="L119" s="54" t="n"/>
      <c r="M119" s="164" t="n"/>
      <c r="N119" s="164" t="n"/>
      <c r="O119" s="164" t="n"/>
      <c r="P119" s="48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77">
      <c r="A120" s="55" t="n"/>
      <c r="B120" s="57" t="n"/>
      <c r="C120" s="57" t="n"/>
      <c r="D120" s="55" t="n"/>
      <c r="E120" s="57" t="n"/>
      <c r="F120" s="57" t="n"/>
      <c r="G120" s="55" t="n"/>
      <c r="H120" s="57" t="n"/>
      <c r="I120" s="57" t="n"/>
      <c r="J120" s="55" t="n"/>
      <c r="K120" s="55" t="n"/>
      <c r="L120" s="54" t="n"/>
      <c r="M120" s="164" t="n"/>
      <c r="N120" s="164" t="n"/>
      <c r="O120" s="164" t="n"/>
      <c r="P120" s="48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77">
      <c r="A121" s="59" t="n"/>
      <c r="B121" s="61" t="n"/>
      <c r="C121" s="61" t="n"/>
      <c r="D121" s="62" t="n"/>
      <c r="E121" s="61" t="n"/>
      <c r="F121" s="61" t="n"/>
      <c r="G121" s="62" t="n"/>
      <c r="H121" s="61" t="n"/>
      <c r="I121" s="61" t="n"/>
      <c r="J121" s="62" t="n"/>
      <c r="K121" s="62" t="n"/>
      <c r="L121" s="65" t="n"/>
      <c r="M121" s="66" t="n"/>
      <c r="N121" s="66" t="n"/>
      <c r="O121" s="66" t="n"/>
      <c r="P121" s="70">
        <f>SUMPRODUCT(VALUE(K115:K119))-(SUM(L115:L119))</f>
        <v/>
      </c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77">
      <c r="A122" s="37" t="n">
        <v>46405</v>
      </c>
      <c r="B122" s="26" t="n"/>
      <c r="C122" s="28" t="n"/>
      <c r="D122" s="29" t="n"/>
      <c r="E122" s="26" t="n"/>
      <c r="F122" s="28" t="n"/>
      <c r="G122" s="31" t="n"/>
      <c r="H122" s="26" t="n"/>
      <c r="I122" s="28" t="n"/>
      <c r="J122" s="31" t="n"/>
      <c r="K122" s="38" t="n"/>
      <c r="L122" s="39" t="n"/>
      <c r="M122" s="34" t="n"/>
      <c r="N122" s="34" t="n"/>
      <c r="O122" s="34" t="n"/>
      <c r="P122" s="72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77">
      <c r="A123" s="37" t="n">
        <v>46406</v>
      </c>
      <c r="B123" s="41" t="n"/>
      <c r="C123" s="42" t="n"/>
      <c r="D123" s="43" t="n"/>
      <c r="E123" s="41" t="n"/>
      <c r="F123" s="42" t="n"/>
      <c r="G123" s="44" t="n"/>
      <c r="H123" s="41" t="n"/>
      <c r="I123" s="42" t="n"/>
      <c r="J123" s="44" t="n"/>
      <c r="K123" s="45" t="n"/>
      <c r="L123" s="46" t="n"/>
      <c r="M123" s="164" t="n"/>
      <c r="N123" s="164" t="n"/>
      <c r="O123" s="164" t="n"/>
      <c r="P123" s="48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77">
      <c r="A124" s="37" t="n">
        <v>46407</v>
      </c>
      <c r="B124" s="41" t="n"/>
      <c r="C124" s="42" t="n"/>
      <c r="D124" s="43" t="n"/>
      <c r="E124" s="41" t="n"/>
      <c r="F124" s="42" t="n"/>
      <c r="G124" s="44" t="n"/>
      <c r="H124" s="41" t="n"/>
      <c r="I124" s="42" t="n"/>
      <c r="J124" s="44" t="n"/>
      <c r="K124" s="45" t="n"/>
      <c r="L124" s="46" t="n"/>
      <c r="M124" s="164" t="n"/>
      <c r="N124" s="164" t="n"/>
      <c r="O124" s="164" t="n"/>
      <c r="P124" s="48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77">
      <c r="A125" s="37" t="n">
        <v>46408</v>
      </c>
      <c r="B125" s="41" t="n"/>
      <c r="C125" s="49" t="n"/>
      <c r="D125" s="50" t="n"/>
      <c r="E125" s="41" t="n"/>
      <c r="F125" s="49" t="n"/>
      <c r="G125" s="44" t="n"/>
      <c r="H125" s="41" t="n"/>
      <c r="I125" s="49" t="n"/>
      <c r="J125" s="44" t="n"/>
      <c r="K125" s="45" t="n"/>
      <c r="L125" s="46" t="n"/>
      <c r="M125" s="164" t="n"/>
      <c r="N125" s="164" t="n"/>
      <c r="O125" s="164" t="n"/>
      <c r="P125" s="48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77">
      <c r="A126" s="37" t="n">
        <v>46409</v>
      </c>
      <c r="B126" s="51" t="n"/>
      <c r="C126" s="52" t="n"/>
      <c r="D126" s="48" t="n"/>
      <c r="E126" s="51" t="n"/>
      <c r="F126" s="52" t="n"/>
      <c r="G126" s="48" t="n"/>
      <c r="H126" s="51" t="n"/>
      <c r="I126" s="52" t="n"/>
      <c r="J126" s="48" t="n"/>
      <c r="K126" s="53" t="n"/>
      <c r="L126" s="54" t="n"/>
      <c r="M126" s="164" t="n"/>
      <c r="N126" s="164" t="n"/>
      <c r="O126" s="164" t="n"/>
      <c r="P126" s="48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77">
      <c r="A127" s="55" t="n"/>
      <c r="B127" s="57" t="n"/>
      <c r="C127" s="57" t="n"/>
      <c r="D127" s="55" t="n"/>
      <c r="E127" s="57" t="n"/>
      <c r="F127" s="57" t="n"/>
      <c r="G127" s="55" t="n"/>
      <c r="H127" s="57" t="n"/>
      <c r="I127" s="57" t="n"/>
      <c r="J127" s="55" t="n"/>
      <c r="K127" s="55" t="n"/>
      <c r="L127" s="54" t="n"/>
      <c r="M127" s="164" t="n"/>
      <c r="N127" s="164" t="n"/>
      <c r="O127" s="164" t="n"/>
      <c r="P127" s="48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77">
      <c r="A128" s="59" t="n"/>
      <c r="B128" s="61" t="n"/>
      <c r="C128" s="61" t="n"/>
      <c r="D128" s="62" t="n"/>
      <c r="E128" s="61" t="n"/>
      <c r="F128" s="61" t="n"/>
      <c r="G128" s="62" t="n"/>
      <c r="H128" s="61" t="n"/>
      <c r="I128" s="61" t="n"/>
      <c r="J128" s="62" t="n"/>
      <c r="K128" s="62" t="n"/>
      <c r="L128" s="65" t="n"/>
      <c r="M128" s="66" t="n"/>
      <c r="N128" s="66" t="n"/>
      <c r="O128" s="66" t="n"/>
      <c r="P128" s="70">
        <f>SUMPRODUCT(VALUE(K122:K126))-(SUM(L122:L126))</f>
        <v/>
      </c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77">
      <c r="A129" s="37" t="n">
        <v>46412</v>
      </c>
      <c r="B129" s="26" t="n"/>
      <c r="C129" s="28" t="n"/>
      <c r="D129" s="29" t="n"/>
      <c r="E129" s="26" t="n"/>
      <c r="F129" s="28" t="n"/>
      <c r="G129" s="31" t="n"/>
      <c r="H129" s="26" t="n"/>
      <c r="I129" s="28" t="n"/>
      <c r="J129" s="31" t="n"/>
      <c r="K129" s="38" t="n"/>
      <c r="L129" s="39" t="n"/>
      <c r="M129" s="34" t="n"/>
      <c r="N129" s="34" t="n"/>
      <c r="O129" s="34" t="n"/>
      <c r="P129" s="72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77">
      <c r="A130" s="37" t="n">
        <v>46413</v>
      </c>
      <c r="B130" s="41" t="n"/>
      <c r="C130" s="42" t="n"/>
      <c r="D130" s="43" t="n"/>
      <c r="E130" s="41" t="n"/>
      <c r="F130" s="42" t="n"/>
      <c r="G130" s="44" t="n"/>
      <c r="H130" s="41" t="n"/>
      <c r="I130" s="42" t="n"/>
      <c r="J130" s="44" t="n"/>
      <c r="K130" s="45" t="n"/>
      <c r="L130" s="46" t="n"/>
      <c r="M130" s="164" t="n"/>
      <c r="N130" s="164" t="n"/>
      <c r="O130" s="164" t="n"/>
      <c r="P130" s="48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77">
      <c r="A131" s="37" t="n">
        <v>46414</v>
      </c>
      <c r="B131" s="41" t="n"/>
      <c r="C131" s="42" t="n"/>
      <c r="D131" s="43" t="n"/>
      <c r="E131" s="41" t="n"/>
      <c r="F131" s="42" t="n"/>
      <c r="G131" s="44" t="n"/>
      <c r="H131" s="41" t="n"/>
      <c r="I131" s="42" t="n"/>
      <c r="J131" s="44" t="n"/>
      <c r="K131" s="45" t="n"/>
      <c r="L131" s="46" t="n"/>
      <c r="M131" s="164" t="n"/>
      <c r="N131" s="164" t="n"/>
      <c r="O131" s="164" t="n"/>
      <c r="P131" s="48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77">
      <c r="A132" s="37" t="n">
        <v>46415</v>
      </c>
      <c r="B132" s="41" t="n"/>
      <c r="C132" s="49" t="n"/>
      <c r="D132" s="50" t="n"/>
      <c r="E132" s="41" t="n"/>
      <c r="F132" s="49" t="n"/>
      <c r="G132" s="44" t="n"/>
      <c r="H132" s="41" t="n"/>
      <c r="I132" s="49" t="n"/>
      <c r="J132" s="44" t="n"/>
      <c r="K132" s="45" t="n"/>
      <c r="L132" s="46" t="n"/>
      <c r="M132" s="164" t="n"/>
      <c r="N132" s="164" t="n"/>
      <c r="O132" s="164" t="n"/>
      <c r="P132" s="48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77">
      <c r="A133" s="37" t="n">
        <v>46416</v>
      </c>
      <c r="B133" s="51" t="n"/>
      <c r="C133" s="52" t="n"/>
      <c r="D133" s="48" t="n"/>
      <c r="E133" s="51" t="n"/>
      <c r="F133" s="52" t="n"/>
      <c r="G133" s="48" t="n"/>
      <c r="H133" s="51" t="n"/>
      <c r="I133" s="52" t="n"/>
      <c r="J133" s="48" t="n"/>
      <c r="K133" s="53" t="n"/>
      <c r="L133" s="54" t="n"/>
      <c r="M133" s="164" t="n"/>
      <c r="N133" s="164" t="n"/>
      <c r="O133" s="164" t="n"/>
      <c r="P133" s="48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77">
      <c r="A134" s="55" t="n"/>
      <c r="B134" s="57" t="n"/>
      <c r="C134" s="57" t="n"/>
      <c r="D134" s="55" t="n"/>
      <c r="E134" s="57" t="n"/>
      <c r="F134" s="57" t="n"/>
      <c r="G134" s="55" t="n"/>
      <c r="H134" s="57" t="n"/>
      <c r="I134" s="57" t="n"/>
      <c r="J134" s="55" t="n"/>
      <c r="K134" s="55" t="n"/>
      <c r="L134" s="54" t="n"/>
      <c r="M134" s="164" t="n"/>
      <c r="N134" s="164" t="n"/>
      <c r="O134" s="164" t="n"/>
      <c r="P134" s="48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77">
      <c r="A135" s="62" t="n"/>
      <c r="B135" s="61" t="n"/>
      <c r="C135" s="61" t="n"/>
      <c r="D135" s="62" t="n"/>
      <c r="E135" s="61" t="n"/>
      <c r="F135" s="61" t="n"/>
      <c r="G135" s="62" t="n"/>
      <c r="H135" s="61" t="n"/>
      <c r="I135" s="61" t="n"/>
      <c r="J135" s="62" t="n"/>
      <c r="K135" s="62" t="n"/>
      <c r="L135" s="65" t="n"/>
      <c r="M135" s="66" t="n"/>
      <c r="N135" s="66" t="n"/>
      <c r="O135" s="66" t="n"/>
      <c r="P135" s="70">
        <f>SUMPRODUCT(VALUE(K129:K133))-(SUM(L129:L133))</f>
        <v/>
      </c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77">
      <c r="A136" s="37" t="n">
        <v>46419</v>
      </c>
      <c r="B136" s="26" t="n"/>
      <c r="C136" s="28" t="n"/>
      <c r="D136" s="29" t="n"/>
      <c r="E136" s="26" t="n"/>
      <c r="F136" s="28" t="n"/>
      <c r="G136" s="31" t="n"/>
      <c r="H136" s="26" t="n"/>
      <c r="I136" s="28" t="n"/>
      <c r="J136" s="31" t="n"/>
      <c r="K136" s="38" t="n"/>
      <c r="L136" s="39" t="n"/>
      <c r="M136" s="34" t="n"/>
      <c r="N136" s="34" t="n"/>
      <c r="O136" s="34" t="n"/>
      <c r="P136" s="72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77">
      <c r="A137" s="37" t="n">
        <v>46420</v>
      </c>
      <c r="B137" s="41" t="n"/>
      <c r="C137" s="42" t="n"/>
      <c r="D137" s="43" t="n"/>
      <c r="E137" s="41" t="n"/>
      <c r="F137" s="42" t="n"/>
      <c r="G137" s="44" t="n"/>
      <c r="H137" s="41" t="n"/>
      <c r="I137" s="42" t="n"/>
      <c r="J137" s="44" t="n"/>
      <c r="K137" s="45" t="n"/>
      <c r="L137" s="46" t="n"/>
      <c r="M137" s="164" t="n"/>
      <c r="N137" s="164" t="n"/>
      <c r="O137" s="164" t="n"/>
      <c r="P137" s="48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77">
      <c r="A138" s="37" t="n">
        <v>46421</v>
      </c>
      <c r="B138" s="41" t="n"/>
      <c r="C138" s="42" t="n"/>
      <c r="D138" s="43" t="n"/>
      <c r="E138" s="41" t="n"/>
      <c r="F138" s="42" t="n"/>
      <c r="G138" s="44" t="n"/>
      <c r="H138" s="41" t="n"/>
      <c r="I138" s="42" t="n"/>
      <c r="J138" s="44" t="n"/>
      <c r="K138" s="45" t="n"/>
      <c r="L138" s="46" t="n"/>
      <c r="M138" s="164" t="n"/>
      <c r="N138" s="164" t="n"/>
      <c r="O138" s="164" t="n"/>
      <c r="P138" s="48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77">
      <c r="A139" s="37" t="n">
        <v>46422</v>
      </c>
      <c r="B139" s="41" t="n"/>
      <c r="C139" s="49" t="n"/>
      <c r="D139" s="50" t="n"/>
      <c r="E139" s="41" t="n"/>
      <c r="F139" s="49" t="n"/>
      <c r="G139" s="44" t="n"/>
      <c r="H139" s="41" t="n"/>
      <c r="I139" s="49" t="n"/>
      <c r="J139" s="44" t="n"/>
      <c r="K139" s="45" t="n"/>
      <c r="L139" s="46" t="n"/>
      <c r="M139" s="164" t="n"/>
      <c r="N139" s="164" t="n"/>
      <c r="O139" s="164" t="n"/>
      <c r="P139" s="48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77">
      <c r="A140" s="37" t="n">
        <v>46423</v>
      </c>
      <c r="B140" s="51" t="n"/>
      <c r="C140" s="52" t="n"/>
      <c r="D140" s="48" t="n"/>
      <c r="E140" s="51" t="n"/>
      <c r="F140" s="52" t="n"/>
      <c r="G140" s="48" t="n"/>
      <c r="H140" s="51" t="n"/>
      <c r="I140" s="52" t="n"/>
      <c r="J140" s="48" t="n"/>
      <c r="K140" s="53" t="n"/>
      <c r="L140" s="54" t="n"/>
      <c r="M140" s="164" t="n"/>
      <c r="N140" s="164" t="n"/>
      <c r="O140" s="164" t="n"/>
      <c r="P140" s="48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77">
      <c r="A141" s="55" t="n"/>
      <c r="B141" s="57" t="n"/>
      <c r="C141" s="57" t="n"/>
      <c r="D141" s="55" t="n"/>
      <c r="E141" s="57" t="n"/>
      <c r="F141" s="57" t="n"/>
      <c r="G141" s="55" t="n"/>
      <c r="H141" s="57" t="n"/>
      <c r="I141" s="57" t="n"/>
      <c r="J141" s="55" t="n"/>
      <c r="K141" s="55" t="n"/>
      <c r="L141" s="54" t="n"/>
      <c r="M141" s="164" t="n"/>
      <c r="N141" s="164" t="n"/>
      <c r="O141" s="164" t="n"/>
      <c r="P141" s="48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77">
      <c r="A142" s="59" t="n"/>
      <c r="B142" s="61" t="n"/>
      <c r="C142" s="61" t="n"/>
      <c r="D142" s="62" t="n"/>
      <c r="E142" s="61" t="n"/>
      <c r="F142" s="61" t="n"/>
      <c r="G142" s="62" t="n"/>
      <c r="H142" s="61" t="n"/>
      <c r="I142" s="61" t="n"/>
      <c r="J142" s="62" t="n"/>
      <c r="K142" s="62" t="n"/>
      <c r="L142" s="65" t="n"/>
      <c r="M142" s="66" t="n"/>
      <c r="N142" s="66" t="n"/>
      <c r="O142" s="66" t="n"/>
      <c r="P142" s="70">
        <f>SUMPRODUCT(VALUE(K136:K140))-(SUM(L136:L140))</f>
        <v/>
      </c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77">
      <c r="A143" s="37" t="n">
        <v>46426</v>
      </c>
      <c r="B143" s="26" t="n"/>
      <c r="C143" s="28" t="n"/>
      <c r="D143" s="29" t="n"/>
      <c r="E143" s="26" t="n"/>
      <c r="F143" s="28" t="n"/>
      <c r="G143" s="31" t="n"/>
      <c r="H143" s="26" t="n"/>
      <c r="I143" s="28" t="n"/>
      <c r="J143" s="31" t="n"/>
      <c r="K143" s="38" t="n"/>
      <c r="L143" s="39" t="n"/>
      <c r="M143" s="34" t="n"/>
      <c r="N143" s="34" t="n"/>
      <c r="O143" s="34" t="n"/>
      <c r="P143" s="72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77">
      <c r="A144" s="37" t="n">
        <v>46427</v>
      </c>
      <c r="B144" s="41" t="n"/>
      <c r="C144" s="42" t="n"/>
      <c r="D144" s="43" t="n"/>
      <c r="E144" s="41" t="n"/>
      <c r="F144" s="42" t="n"/>
      <c r="G144" s="44" t="n"/>
      <c r="H144" s="41" t="n"/>
      <c r="I144" s="42" t="n"/>
      <c r="J144" s="44" t="n"/>
      <c r="K144" s="45" t="n"/>
      <c r="L144" s="46" t="n"/>
      <c r="M144" s="164" t="n"/>
      <c r="N144" s="164" t="n"/>
      <c r="O144" s="164" t="n"/>
      <c r="P144" s="48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77">
      <c r="A145" s="37" t="n">
        <v>46428</v>
      </c>
      <c r="B145" s="41" t="n"/>
      <c r="C145" s="42" t="n"/>
      <c r="D145" s="43" t="n"/>
      <c r="E145" s="41" t="n"/>
      <c r="F145" s="42" t="n"/>
      <c r="G145" s="44" t="n"/>
      <c r="H145" s="41" t="n"/>
      <c r="I145" s="42" t="n"/>
      <c r="J145" s="44" t="n"/>
      <c r="K145" s="45" t="n"/>
      <c r="L145" s="46" t="n"/>
      <c r="M145" s="164" t="n"/>
      <c r="N145" s="164" t="n"/>
      <c r="O145" s="164" t="n"/>
      <c r="P145" s="48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77">
      <c r="A146" s="37" t="n">
        <v>46429</v>
      </c>
      <c r="B146" s="41" t="n"/>
      <c r="C146" s="49" t="n"/>
      <c r="D146" s="50" t="n"/>
      <c r="E146" s="41" t="n"/>
      <c r="F146" s="49" t="n"/>
      <c r="G146" s="44" t="n"/>
      <c r="H146" s="41" t="n"/>
      <c r="I146" s="49" t="n"/>
      <c r="J146" s="44" t="n"/>
      <c r="K146" s="45" t="n"/>
      <c r="L146" s="46" t="n"/>
      <c r="M146" s="164" t="n"/>
      <c r="N146" s="164" t="n"/>
      <c r="O146" s="164" t="n"/>
      <c r="P146" s="48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77">
      <c r="A147" s="37" t="n">
        <v>46430</v>
      </c>
      <c r="B147" s="51" t="n"/>
      <c r="C147" s="52" t="n"/>
      <c r="D147" s="48" t="n"/>
      <c r="E147" s="51" t="n"/>
      <c r="F147" s="52" t="n"/>
      <c r="G147" s="48" t="n"/>
      <c r="H147" s="51" t="n"/>
      <c r="I147" s="52" t="n"/>
      <c r="J147" s="48" t="n"/>
      <c r="K147" s="53" t="n"/>
      <c r="L147" s="54" t="n"/>
      <c r="M147" s="164" t="n"/>
      <c r="N147" s="164" t="n"/>
      <c r="O147" s="164" t="n"/>
      <c r="P147" s="48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77">
      <c r="A148" s="55" t="n"/>
      <c r="B148" s="57" t="n"/>
      <c r="C148" s="57" t="n"/>
      <c r="D148" s="55" t="n"/>
      <c r="E148" s="57" t="n"/>
      <c r="F148" s="57" t="n"/>
      <c r="G148" s="55" t="n"/>
      <c r="H148" s="57" t="n"/>
      <c r="I148" s="57" t="n"/>
      <c r="J148" s="55" t="n"/>
      <c r="K148" s="55" t="n"/>
      <c r="L148" s="54" t="n"/>
      <c r="M148" s="164" t="n"/>
      <c r="N148" s="164" t="n"/>
      <c r="O148" s="164" t="n"/>
      <c r="P148" s="48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77">
      <c r="A149" s="59" t="n"/>
      <c r="B149" s="61" t="n"/>
      <c r="C149" s="61" t="n"/>
      <c r="D149" s="62" t="n"/>
      <c r="E149" s="61" t="n"/>
      <c r="F149" s="61" t="n"/>
      <c r="G149" s="62" t="n"/>
      <c r="H149" s="61" t="n"/>
      <c r="I149" s="61" t="n"/>
      <c r="J149" s="62" t="n"/>
      <c r="K149" s="62" t="n"/>
      <c r="L149" s="65" t="n"/>
      <c r="M149" s="66" t="n"/>
      <c r="N149" s="66" t="n"/>
      <c r="O149" s="66" t="n"/>
      <c r="P149" s="70">
        <f>SUMPRODUCT(VALUE(K143:K147))-(SUM(L143:L147))</f>
        <v/>
      </c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77">
      <c r="A150" s="37" t="n">
        <v>46433</v>
      </c>
      <c r="B150" s="26" t="n"/>
      <c r="C150" s="28" t="n"/>
      <c r="D150" s="29" t="n"/>
      <c r="E150" s="26" t="n"/>
      <c r="F150" s="28" t="n"/>
      <c r="G150" s="31" t="n"/>
      <c r="H150" s="26" t="n"/>
      <c r="I150" s="28" t="n"/>
      <c r="J150" s="31" t="n"/>
      <c r="K150" s="38" t="n"/>
      <c r="L150" s="39" t="n"/>
      <c r="M150" s="34" t="n"/>
      <c r="N150" s="34" t="n"/>
      <c r="O150" s="34" t="n"/>
      <c r="P150" s="72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77">
      <c r="A151" s="37" t="n">
        <v>46434</v>
      </c>
      <c r="B151" s="41" t="n"/>
      <c r="C151" s="42" t="n"/>
      <c r="D151" s="43" t="n"/>
      <c r="E151" s="41" t="n"/>
      <c r="F151" s="42" t="n"/>
      <c r="G151" s="44" t="n"/>
      <c r="H151" s="41" t="n"/>
      <c r="I151" s="42" t="n"/>
      <c r="J151" s="44" t="n"/>
      <c r="K151" s="45" t="n"/>
      <c r="L151" s="46" t="n"/>
      <c r="M151" s="164" t="n"/>
      <c r="N151" s="164" t="n"/>
      <c r="O151" s="164" t="n"/>
      <c r="P151" s="48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77">
      <c r="A152" s="37" t="n">
        <v>46435</v>
      </c>
      <c r="B152" s="41" t="n"/>
      <c r="C152" s="42" t="n"/>
      <c r="D152" s="43" t="n"/>
      <c r="E152" s="41" t="n"/>
      <c r="F152" s="42" t="n"/>
      <c r="G152" s="44" t="n"/>
      <c r="H152" s="41" t="n"/>
      <c r="I152" s="42" t="n"/>
      <c r="J152" s="44" t="n"/>
      <c r="K152" s="45" t="n"/>
      <c r="L152" s="46" t="n"/>
      <c r="M152" s="164" t="n"/>
      <c r="N152" s="164" t="n"/>
      <c r="O152" s="164" t="n"/>
      <c r="P152" s="48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77">
      <c r="A153" s="37" t="n">
        <v>46436</v>
      </c>
      <c r="B153" s="41" t="n"/>
      <c r="C153" s="49" t="n"/>
      <c r="D153" s="50" t="n"/>
      <c r="E153" s="41" t="n"/>
      <c r="F153" s="49" t="n"/>
      <c r="G153" s="44" t="n"/>
      <c r="H153" s="41" t="n"/>
      <c r="I153" s="49" t="n"/>
      <c r="J153" s="44" t="n"/>
      <c r="K153" s="45" t="n"/>
      <c r="L153" s="46" t="n"/>
      <c r="M153" s="164" t="n"/>
      <c r="N153" s="164" t="n"/>
      <c r="O153" s="164" t="n"/>
      <c r="P153" s="48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77">
      <c r="A154" s="37" t="n">
        <v>46437</v>
      </c>
      <c r="B154" s="51" t="n"/>
      <c r="C154" s="52" t="n"/>
      <c r="D154" s="48" t="n"/>
      <c r="E154" s="51" t="n"/>
      <c r="F154" s="52" t="n"/>
      <c r="G154" s="48" t="n"/>
      <c r="H154" s="51" t="n"/>
      <c r="I154" s="52" t="n"/>
      <c r="J154" s="48" t="n"/>
      <c r="K154" s="53" t="n"/>
      <c r="L154" s="54" t="n"/>
      <c r="M154" s="164" t="n"/>
      <c r="N154" s="164" t="n"/>
      <c r="O154" s="164" t="n"/>
      <c r="P154" s="48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77">
      <c r="A155" s="55" t="n"/>
      <c r="B155" s="57" t="n"/>
      <c r="C155" s="57" t="n"/>
      <c r="D155" s="55" t="n"/>
      <c r="E155" s="57" t="n"/>
      <c r="F155" s="57" t="n"/>
      <c r="G155" s="55" t="n"/>
      <c r="H155" s="57" t="n"/>
      <c r="I155" s="57" t="n"/>
      <c r="J155" s="55" t="n"/>
      <c r="K155" s="55" t="n"/>
      <c r="L155" s="54" t="n"/>
      <c r="M155" s="164" t="n"/>
      <c r="N155" s="164" t="n"/>
      <c r="O155" s="164" t="n"/>
      <c r="P155" s="48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77">
      <c r="A156" s="59" t="n"/>
      <c r="B156" s="61" t="n"/>
      <c r="C156" s="61" t="n"/>
      <c r="D156" s="62" t="n"/>
      <c r="E156" s="61" t="n"/>
      <c r="F156" s="61" t="n"/>
      <c r="G156" s="62" t="n"/>
      <c r="H156" s="61" t="n"/>
      <c r="I156" s="61" t="n"/>
      <c r="J156" s="62" t="n"/>
      <c r="K156" s="62" t="n"/>
      <c r="L156" s="65" t="n"/>
      <c r="M156" s="66" t="n"/>
      <c r="N156" s="66" t="n"/>
      <c r="O156" s="66" t="n"/>
      <c r="P156" s="70">
        <f>SUMPRODUCT(VALUE(K150:K154))-(SUM(L150:L154))</f>
        <v/>
      </c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77">
      <c r="A157" s="37" t="n">
        <v>46440</v>
      </c>
      <c r="B157" s="26" t="n"/>
      <c r="C157" s="28" t="n"/>
      <c r="D157" s="29" t="n"/>
      <c r="E157" s="26" t="n"/>
      <c r="F157" s="28" t="n"/>
      <c r="G157" s="31" t="n"/>
      <c r="H157" s="26" t="n"/>
      <c r="I157" s="28" t="n"/>
      <c r="J157" s="31" t="n"/>
      <c r="K157" s="38" t="n"/>
      <c r="L157" s="39" t="n"/>
      <c r="M157" s="34" t="n"/>
      <c r="N157" s="34" t="n"/>
      <c r="O157" s="34" t="n"/>
      <c r="P157" s="72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77">
      <c r="A158" s="37" t="n">
        <v>46441</v>
      </c>
      <c r="B158" s="41" t="n"/>
      <c r="C158" s="42" t="n"/>
      <c r="D158" s="43" t="n"/>
      <c r="E158" s="41" t="n"/>
      <c r="F158" s="42" t="n"/>
      <c r="G158" s="44" t="n"/>
      <c r="H158" s="41" t="n"/>
      <c r="I158" s="42" t="n"/>
      <c r="J158" s="44" t="n"/>
      <c r="K158" s="45" t="n"/>
      <c r="L158" s="46" t="n"/>
      <c r="M158" s="164" t="n"/>
      <c r="N158" s="164" t="n"/>
      <c r="O158" s="164" t="n"/>
      <c r="P158" s="48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77">
      <c r="A159" s="37" t="n">
        <v>46442</v>
      </c>
      <c r="B159" s="41" t="n"/>
      <c r="C159" s="42" t="n"/>
      <c r="D159" s="43" t="n"/>
      <c r="E159" s="41" t="n"/>
      <c r="F159" s="42" t="n"/>
      <c r="G159" s="44" t="n"/>
      <c r="H159" s="41" t="n"/>
      <c r="I159" s="42" t="n"/>
      <c r="J159" s="44" t="n"/>
      <c r="K159" s="45" t="n"/>
      <c r="L159" s="46" t="n"/>
      <c r="M159" s="164" t="n"/>
      <c r="N159" s="164" t="n"/>
      <c r="O159" s="164" t="n"/>
      <c r="P159" s="48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77">
      <c r="A160" s="37" t="n">
        <v>46443</v>
      </c>
      <c r="B160" s="41" t="n"/>
      <c r="C160" s="49" t="n"/>
      <c r="D160" s="50" t="n"/>
      <c r="E160" s="41" t="n"/>
      <c r="F160" s="49" t="n"/>
      <c r="G160" s="44" t="n"/>
      <c r="H160" s="41" t="n"/>
      <c r="I160" s="49" t="n"/>
      <c r="J160" s="44" t="n"/>
      <c r="K160" s="45" t="n"/>
      <c r="L160" s="46" t="n"/>
      <c r="M160" s="164" t="n"/>
      <c r="N160" s="164" t="n"/>
      <c r="O160" s="164" t="n"/>
      <c r="P160" s="48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77">
      <c r="A161" s="37" t="n">
        <v>46444</v>
      </c>
      <c r="B161" s="51" t="n"/>
      <c r="C161" s="52" t="n"/>
      <c r="D161" s="48" t="n"/>
      <c r="E161" s="51" t="n"/>
      <c r="F161" s="52" t="n"/>
      <c r="G161" s="48" t="n"/>
      <c r="H161" s="51" t="n"/>
      <c r="I161" s="52" t="n"/>
      <c r="J161" s="48" t="n"/>
      <c r="K161" s="53" t="n"/>
      <c r="L161" s="54" t="n"/>
      <c r="M161" s="164" t="n"/>
      <c r="N161" s="164" t="n"/>
      <c r="O161" s="164" t="n"/>
      <c r="P161" s="48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77">
      <c r="A162" s="55" t="n"/>
      <c r="B162" s="57" t="n"/>
      <c r="C162" s="57" t="n"/>
      <c r="D162" s="55" t="n"/>
      <c r="E162" s="57" t="n"/>
      <c r="F162" s="57" t="n"/>
      <c r="G162" s="55" t="n"/>
      <c r="H162" s="57" t="n"/>
      <c r="I162" s="57" t="n"/>
      <c r="J162" s="55" t="n"/>
      <c r="K162" s="55" t="n"/>
      <c r="L162" s="54" t="n"/>
      <c r="M162" s="164" t="n"/>
      <c r="N162" s="164" t="n"/>
      <c r="O162" s="164" t="n"/>
      <c r="P162" s="48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77">
      <c r="A163" s="59" t="n"/>
      <c r="B163" s="61" t="n"/>
      <c r="C163" s="61" t="n"/>
      <c r="D163" s="62" t="n"/>
      <c r="E163" s="61" t="n"/>
      <c r="F163" s="61" t="n"/>
      <c r="G163" s="62" t="n"/>
      <c r="H163" s="61" t="n"/>
      <c r="I163" s="61" t="n"/>
      <c r="J163" s="62" t="n"/>
      <c r="K163" s="62" t="n"/>
      <c r="L163" s="65" t="n"/>
      <c r="M163" s="66" t="n"/>
      <c r="N163" s="66" t="n"/>
      <c r="O163" s="66" t="n"/>
      <c r="P163" s="70">
        <f>SUMPRODUCT(VALUE(K157:K161))-(SUM(L157:L161))</f>
        <v/>
      </c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77">
      <c r="A164" s="37" t="n">
        <v>46447</v>
      </c>
      <c r="B164" s="26" t="n"/>
      <c r="C164" s="28" t="n"/>
      <c r="D164" s="29" t="n"/>
      <c r="E164" s="26" t="n"/>
      <c r="F164" s="28" t="n"/>
      <c r="G164" s="31" t="n"/>
      <c r="H164" s="26" t="n"/>
      <c r="I164" s="28" t="n"/>
      <c r="J164" s="31" t="n"/>
      <c r="K164" s="38" t="n"/>
      <c r="L164" s="39" t="n"/>
      <c r="M164" s="34" t="n"/>
      <c r="N164" s="34" t="n"/>
      <c r="O164" s="34" t="n"/>
      <c r="P164" s="72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77">
      <c r="A165" s="37" t="n">
        <v>46448</v>
      </c>
      <c r="B165" s="41" t="n"/>
      <c r="C165" s="42" t="n"/>
      <c r="D165" s="43" t="n"/>
      <c r="E165" s="41" t="n"/>
      <c r="F165" s="42" t="n"/>
      <c r="G165" s="44" t="n"/>
      <c r="H165" s="41" t="n"/>
      <c r="I165" s="42" t="n"/>
      <c r="J165" s="44" t="n"/>
      <c r="K165" s="45" t="n"/>
      <c r="L165" s="46" t="n"/>
      <c r="M165" s="164" t="n"/>
      <c r="N165" s="164" t="n"/>
      <c r="O165" s="164" t="n"/>
      <c r="P165" s="48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77">
      <c r="A166" s="37" t="n">
        <v>46449</v>
      </c>
      <c r="B166" s="41" t="n"/>
      <c r="C166" s="42" t="n"/>
      <c r="D166" s="43" t="n"/>
      <c r="E166" s="41" t="n"/>
      <c r="F166" s="42" t="n"/>
      <c r="G166" s="44" t="n"/>
      <c r="H166" s="41" t="n"/>
      <c r="I166" s="42" t="n"/>
      <c r="J166" s="44" t="n"/>
      <c r="K166" s="45" t="n"/>
      <c r="L166" s="46" t="n"/>
      <c r="M166" s="164" t="n"/>
      <c r="N166" s="164" t="n"/>
      <c r="O166" s="164" t="n"/>
      <c r="P166" s="48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77">
      <c r="A167" s="37" t="n">
        <v>46450</v>
      </c>
      <c r="B167" s="41" t="n"/>
      <c r="C167" s="49" t="n"/>
      <c r="D167" s="50" t="n"/>
      <c r="E167" s="41" t="n"/>
      <c r="F167" s="49" t="n"/>
      <c r="G167" s="44" t="n"/>
      <c r="H167" s="41" t="n"/>
      <c r="I167" s="49" t="n"/>
      <c r="J167" s="44" t="n"/>
      <c r="K167" s="45" t="n"/>
      <c r="L167" s="46" t="n"/>
      <c r="M167" s="164" t="n"/>
      <c r="N167" s="164" t="n"/>
      <c r="O167" s="164" t="n"/>
      <c r="P167" s="48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77">
      <c r="A168" s="37" t="n">
        <v>46451</v>
      </c>
      <c r="B168" s="51" t="n"/>
      <c r="C168" s="52" t="n"/>
      <c r="D168" s="48" t="n"/>
      <c r="E168" s="51" t="n"/>
      <c r="F168" s="52" t="n"/>
      <c r="G168" s="48" t="n"/>
      <c r="H168" s="51" t="n"/>
      <c r="I168" s="52" t="n"/>
      <c r="J168" s="48" t="n"/>
      <c r="K168" s="53" t="n"/>
      <c r="L168" s="54" t="n"/>
      <c r="M168" s="164" t="n"/>
      <c r="N168" s="164" t="n"/>
      <c r="O168" s="164" t="n"/>
      <c r="P168" s="48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77">
      <c r="A169" s="55" t="n"/>
      <c r="B169" s="57" t="n"/>
      <c r="C169" s="57" t="n"/>
      <c r="D169" s="55" t="n"/>
      <c r="E169" s="57" t="n"/>
      <c r="F169" s="57" t="n"/>
      <c r="G169" s="55" t="n"/>
      <c r="H169" s="57" t="n"/>
      <c r="I169" s="57" t="n"/>
      <c r="J169" s="55" t="n"/>
      <c r="K169" s="55" t="n"/>
      <c r="L169" s="54" t="n"/>
      <c r="M169" s="164" t="n"/>
      <c r="N169" s="164" t="n"/>
      <c r="O169" s="164" t="n"/>
      <c r="P169" s="48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77">
      <c r="A170" s="59" t="n"/>
      <c r="B170" s="61" t="n"/>
      <c r="C170" s="61" t="n"/>
      <c r="D170" s="62" t="n"/>
      <c r="E170" s="61" t="n"/>
      <c r="F170" s="61" t="n"/>
      <c r="G170" s="62" t="n"/>
      <c r="H170" s="61" t="n"/>
      <c r="I170" s="61" t="n"/>
      <c r="J170" s="62" t="n"/>
      <c r="K170" s="62" t="n"/>
      <c r="L170" s="65" t="n"/>
      <c r="M170" s="66" t="n"/>
      <c r="N170" s="66" t="n"/>
      <c r="O170" s="66" t="n"/>
      <c r="P170" s="70">
        <f>SUMPRODUCT(VALUE(K164:K168))-(SUM(L164:L168))</f>
        <v/>
      </c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77">
      <c r="A171" s="37" t="n">
        <v>46454</v>
      </c>
      <c r="B171" s="26" t="n"/>
      <c r="C171" s="28" t="n"/>
      <c r="D171" s="29" t="n"/>
      <c r="E171" s="26" t="n"/>
      <c r="F171" s="28" t="n"/>
      <c r="G171" s="31" t="n"/>
      <c r="H171" s="26" t="n"/>
      <c r="I171" s="28" t="n"/>
      <c r="J171" s="31" t="n"/>
      <c r="K171" s="38" t="n"/>
      <c r="L171" s="39" t="n"/>
      <c r="M171" s="34" t="n"/>
      <c r="N171" s="34" t="n"/>
      <c r="O171" s="34" t="n"/>
      <c r="P171" s="72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77">
      <c r="A172" s="37" t="n">
        <v>46455</v>
      </c>
      <c r="B172" s="41" t="n"/>
      <c r="C172" s="42" t="n"/>
      <c r="D172" s="43" t="n"/>
      <c r="E172" s="41" t="n"/>
      <c r="F172" s="42" t="n"/>
      <c r="G172" s="44" t="n"/>
      <c r="H172" s="41" t="n"/>
      <c r="I172" s="42" t="n"/>
      <c r="J172" s="44" t="n"/>
      <c r="K172" s="45" t="n"/>
      <c r="L172" s="46" t="n"/>
      <c r="M172" s="164" t="n"/>
      <c r="N172" s="164" t="n"/>
      <c r="O172" s="164" t="n"/>
      <c r="P172" s="48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77">
      <c r="A173" s="37" t="n">
        <v>46456</v>
      </c>
      <c r="B173" s="41" t="n"/>
      <c r="C173" s="42" t="n"/>
      <c r="D173" s="43" t="n"/>
      <c r="E173" s="41" t="n"/>
      <c r="F173" s="42" t="n"/>
      <c r="G173" s="44" t="n"/>
      <c r="H173" s="41" t="n"/>
      <c r="I173" s="42" t="n"/>
      <c r="J173" s="44" t="n"/>
      <c r="K173" s="45" t="n"/>
      <c r="L173" s="46" t="n"/>
      <c r="M173" s="164" t="n"/>
      <c r="N173" s="164" t="n"/>
      <c r="O173" s="164" t="n"/>
      <c r="P173" s="48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77">
      <c r="A174" s="37" t="n">
        <v>46457</v>
      </c>
      <c r="B174" s="41" t="n"/>
      <c r="C174" s="49" t="n"/>
      <c r="D174" s="50" t="n"/>
      <c r="E174" s="41" t="n"/>
      <c r="F174" s="49" t="n"/>
      <c r="G174" s="44" t="n"/>
      <c r="H174" s="41" t="n"/>
      <c r="I174" s="49" t="n"/>
      <c r="J174" s="44" t="n"/>
      <c r="K174" s="45" t="n"/>
      <c r="L174" s="46" t="n"/>
      <c r="M174" s="164" t="n"/>
      <c r="N174" s="164" t="n"/>
      <c r="O174" s="164" t="n"/>
      <c r="P174" s="48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77">
      <c r="A175" s="37" t="n">
        <v>46458</v>
      </c>
      <c r="B175" s="51" t="n"/>
      <c r="C175" s="52" t="n"/>
      <c r="D175" s="48" t="n"/>
      <c r="E175" s="51" t="n"/>
      <c r="F175" s="52" t="n"/>
      <c r="G175" s="48" t="n"/>
      <c r="H175" s="51" t="n"/>
      <c r="I175" s="52" t="n"/>
      <c r="J175" s="48" t="n"/>
      <c r="K175" s="53" t="n"/>
      <c r="L175" s="54" t="n"/>
      <c r="M175" s="164" t="n"/>
      <c r="N175" s="164" t="n"/>
      <c r="O175" s="164" t="n"/>
      <c r="P175" s="48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77">
      <c r="A176" s="55" t="n"/>
      <c r="B176" s="57" t="n"/>
      <c r="C176" s="57" t="n"/>
      <c r="D176" s="55" t="n"/>
      <c r="E176" s="57" t="n"/>
      <c r="F176" s="57" t="n"/>
      <c r="G176" s="55" t="n"/>
      <c r="H176" s="57" t="n"/>
      <c r="I176" s="57" t="n"/>
      <c r="J176" s="55" t="n"/>
      <c r="K176" s="55" t="n"/>
      <c r="L176" s="54" t="n"/>
      <c r="M176" s="164" t="n"/>
      <c r="N176" s="164" t="n"/>
      <c r="O176" s="164" t="n"/>
      <c r="P176" s="48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77">
      <c r="A177" s="59" t="n"/>
      <c r="B177" s="61" t="n"/>
      <c r="C177" s="61" t="n"/>
      <c r="D177" s="62" t="n"/>
      <c r="E177" s="61" t="n"/>
      <c r="F177" s="61" t="n"/>
      <c r="G177" s="62" t="n"/>
      <c r="H177" s="61" t="n"/>
      <c r="I177" s="61" t="n"/>
      <c r="J177" s="62" t="n"/>
      <c r="K177" s="62" t="n"/>
      <c r="L177" s="65" t="n"/>
      <c r="M177" s="66" t="n"/>
      <c r="N177" s="66" t="n"/>
      <c r="O177" s="66" t="n"/>
      <c r="P177" s="70">
        <f>SUMPRODUCT(VALUE(K171:K175))-(SUM(L171:L175))</f>
        <v/>
      </c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77">
      <c r="A178" s="37" t="n">
        <v>46461</v>
      </c>
      <c r="B178" s="26" t="n"/>
      <c r="C178" s="28" t="n"/>
      <c r="D178" s="29" t="n"/>
      <c r="E178" s="26" t="n"/>
      <c r="F178" s="28" t="n"/>
      <c r="G178" s="31" t="n"/>
      <c r="H178" s="26" t="n"/>
      <c r="I178" s="28" t="n"/>
      <c r="J178" s="31" t="n"/>
      <c r="K178" s="38" t="n"/>
      <c r="L178" s="39" t="n"/>
      <c r="M178" s="34" t="n"/>
      <c r="N178" s="34" t="n"/>
      <c r="O178" s="34" t="n"/>
      <c r="P178" s="72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77">
      <c r="A179" s="37" t="n">
        <v>46462</v>
      </c>
      <c r="B179" s="41" t="n"/>
      <c r="C179" s="42" t="n"/>
      <c r="D179" s="43" t="n"/>
      <c r="E179" s="41" t="n"/>
      <c r="F179" s="42" t="n"/>
      <c r="G179" s="44" t="n"/>
      <c r="H179" s="41" t="n"/>
      <c r="I179" s="42" t="n"/>
      <c r="J179" s="44" t="n"/>
      <c r="K179" s="45" t="n"/>
      <c r="L179" s="46" t="n"/>
      <c r="M179" s="164" t="n"/>
      <c r="N179" s="164" t="n"/>
      <c r="O179" s="164" t="n"/>
      <c r="P179" s="48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77">
      <c r="A180" s="37" t="n">
        <v>46463</v>
      </c>
      <c r="B180" s="41" t="n"/>
      <c r="C180" s="42" t="n"/>
      <c r="D180" s="43" t="n"/>
      <c r="E180" s="41" t="n"/>
      <c r="F180" s="42" t="n"/>
      <c r="G180" s="44" t="n"/>
      <c r="H180" s="41" t="n"/>
      <c r="I180" s="42" t="n"/>
      <c r="J180" s="44" t="n"/>
      <c r="K180" s="45" t="n"/>
      <c r="L180" s="46" t="n"/>
      <c r="M180" s="164" t="n"/>
      <c r="N180" s="164" t="n"/>
      <c r="O180" s="164" t="n"/>
      <c r="P180" s="48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77">
      <c r="A181" s="37" t="n">
        <v>46464</v>
      </c>
      <c r="B181" s="41" t="n"/>
      <c r="C181" s="49" t="n"/>
      <c r="D181" s="50" t="n"/>
      <c r="E181" s="41" t="n"/>
      <c r="F181" s="49" t="n"/>
      <c r="G181" s="44" t="n"/>
      <c r="H181" s="41" t="n"/>
      <c r="I181" s="49" t="n"/>
      <c r="J181" s="44" t="n"/>
      <c r="K181" s="45" t="n"/>
      <c r="L181" s="46" t="n"/>
      <c r="M181" s="164" t="n"/>
      <c r="N181" s="164" t="n"/>
      <c r="O181" s="164" t="n"/>
      <c r="P181" s="48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77">
      <c r="A182" s="37" t="n">
        <v>46465</v>
      </c>
      <c r="B182" s="51" t="n"/>
      <c r="C182" s="52" t="n"/>
      <c r="D182" s="48" t="n"/>
      <c r="E182" s="51" t="n"/>
      <c r="F182" s="52" t="n"/>
      <c r="G182" s="48" t="n"/>
      <c r="H182" s="51" t="n"/>
      <c r="I182" s="52" t="n"/>
      <c r="J182" s="48" t="n"/>
      <c r="K182" s="53" t="n"/>
      <c r="L182" s="54" t="n"/>
      <c r="M182" s="164" t="n"/>
      <c r="N182" s="164" t="n"/>
      <c r="O182" s="164" t="n"/>
      <c r="P182" s="48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77">
      <c r="A183" s="55" t="n"/>
      <c r="B183" s="57" t="n"/>
      <c r="C183" s="57" t="n"/>
      <c r="D183" s="55" t="n"/>
      <c r="E183" s="57" t="n"/>
      <c r="F183" s="57" t="n"/>
      <c r="G183" s="55" t="n"/>
      <c r="H183" s="57" t="n"/>
      <c r="I183" s="57" t="n"/>
      <c r="J183" s="55" t="n"/>
      <c r="K183" s="55" t="n"/>
      <c r="L183" s="54" t="n"/>
      <c r="M183" s="164" t="n"/>
      <c r="N183" s="164" t="n"/>
      <c r="O183" s="164" t="n"/>
      <c r="P183" s="48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77">
      <c r="A184" s="59" t="n"/>
      <c r="B184" s="61" t="n"/>
      <c r="C184" s="61" t="n"/>
      <c r="D184" s="62" t="n"/>
      <c r="E184" s="61" t="n"/>
      <c r="F184" s="61" t="n"/>
      <c r="G184" s="62" t="n"/>
      <c r="H184" s="61" t="n"/>
      <c r="I184" s="61" t="n"/>
      <c r="J184" s="62" t="n"/>
      <c r="K184" s="62" t="n"/>
      <c r="L184" s="65" t="n"/>
      <c r="M184" s="66" t="n"/>
      <c r="N184" s="66" t="n"/>
      <c r="O184" s="66" t="n"/>
      <c r="P184" s="70">
        <f>SUMPRODUCT(VALUE(K178:K182))-(SUM(L178:L182))</f>
        <v/>
      </c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77">
      <c r="A185" s="37" t="n">
        <v>46468</v>
      </c>
      <c r="B185" s="26" t="n"/>
      <c r="C185" s="28" t="n"/>
      <c r="D185" s="29" t="n"/>
      <c r="E185" s="26" t="n"/>
      <c r="F185" s="28" t="n"/>
      <c r="G185" s="31" t="n"/>
      <c r="H185" s="26" t="n"/>
      <c r="I185" s="28" t="n"/>
      <c r="J185" s="31" t="n"/>
      <c r="K185" s="38" t="n"/>
      <c r="L185" s="39" t="n"/>
      <c r="M185" s="34" t="n"/>
      <c r="N185" s="34" t="n"/>
      <c r="O185" s="34" t="n"/>
      <c r="P185" s="72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77">
      <c r="A186" s="37" t="n">
        <v>46469</v>
      </c>
      <c r="B186" s="41" t="n"/>
      <c r="C186" s="42" t="n"/>
      <c r="D186" s="43" t="n"/>
      <c r="E186" s="41" t="n"/>
      <c r="F186" s="42" t="n"/>
      <c r="G186" s="44" t="n"/>
      <c r="H186" s="41" t="n"/>
      <c r="I186" s="42" t="n"/>
      <c r="J186" s="44" t="n"/>
      <c r="K186" s="45" t="n"/>
      <c r="L186" s="46" t="n"/>
      <c r="M186" s="164" t="n"/>
      <c r="N186" s="164" t="n"/>
      <c r="O186" s="164" t="n"/>
      <c r="P186" s="48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77">
      <c r="A187" s="37" t="n">
        <v>46470</v>
      </c>
      <c r="B187" s="41" t="n"/>
      <c r="C187" s="42" t="n"/>
      <c r="D187" s="43" t="n"/>
      <c r="E187" s="41" t="n"/>
      <c r="F187" s="42" t="n"/>
      <c r="G187" s="44" t="n"/>
      <c r="H187" s="41" t="n"/>
      <c r="I187" s="42" t="n"/>
      <c r="J187" s="44" t="n"/>
      <c r="K187" s="45" t="n"/>
      <c r="L187" s="46" t="n"/>
      <c r="M187" s="164" t="n"/>
      <c r="N187" s="164" t="n"/>
      <c r="O187" s="164" t="n"/>
      <c r="P187" s="48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77">
      <c r="A188" s="37" t="n">
        <v>46471</v>
      </c>
      <c r="B188" s="41" t="n"/>
      <c r="C188" s="49" t="n"/>
      <c r="D188" s="50" t="n"/>
      <c r="E188" s="41" t="n"/>
      <c r="F188" s="49" t="n"/>
      <c r="G188" s="44" t="n"/>
      <c r="H188" s="41" t="n"/>
      <c r="I188" s="49" t="n"/>
      <c r="J188" s="44" t="n"/>
      <c r="K188" s="45" t="n"/>
      <c r="L188" s="46" t="n"/>
      <c r="M188" s="164" t="n"/>
      <c r="N188" s="164" t="n"/>
      <c r="O188" s="164" t="n"/>
      <c r="P188" s="48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77">
      <c r="A189" s="37" t="n">
        <v>46472</v>
      </c>
      <c r="B189" s="51" t="n"/>
      <c r="C189" s="52" t="n"/>
      <c r="D189" s="48" t="n"/>
      <c r="E189" s="51" t="n"/>
      <c r="F189" s="52" t="n"/>
      <c r="G189" s="48" t="n"/>
      <c r="H189" s="51" t="n"/>
      <c r="I189" s="52" t="n"/>
      <c r="J189" s="48" t="n"/>
      <c r="K189" s="53" t="n"/>
      <c r="L189" s="54" t="n"/>
      <c r="M189" s="164" t="n"/>
      <c r="N189" s="164" t="n"/>
      <c r="O189" s="164" t="n"/>
      <c r="P189" s="48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77">
      <c r="A190" s="55" t="n"/>
      <c r="B190" s="57" t="n"/>
      <c r="C190" s="57" t="n"/>
      <c r="D190" s="55" t="n"/>
      <c r="E190" s="57" t="n"/>
      <c r="F190" s="57" t="n"/>
      <c r="G190" s="55" t="n"/>
      <c r="H190" s="57" t="n"/>
      <c r="I190" s="57" t="n"/>
      <c r="J190" s="55" t="n"/>
      <c r="K190" s="55" t="n"/>
      <c r="L190" s="54" t="n"/>
      <c r="M190" s="164" t="n"/>
      <c r="N190" s="164" t="n"/>
      <c r="O190" s="164" t="n"/>
      <c r="P190" s="48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77">
      <c r="A191" s="59" t="n"/>
      <c r="B191" s="61" t="n"/>
      <c r="C191" s="61" t="n"/>
      <c r="D191" s="62" t="n"/>
      <c r="E191" s="61" t="n"/>
      <c r="F191" s="61" t="n"/>
      <c r="G191" s="62" t="n"/>
      <c r="H191" s="61" t="n"/>
      <c r="I191" s="61" t="n"/>
      <c r="J191" s="62" t="n"/>
      <c r="K191" s="62" t="n"/>
      <c r="L191" s="65" t="n"/>
      <c r="M191" s="66" t="n"/>
      <c r="N191" s="66" t="n"/>
      <c r="O191" s="66" t="n"/>
      <c r="P191" s="70">
        <f>SUMPRODUCT(VALUE(K185:K189))-(SUM(L185:L189))</f>
        <v/>
      </c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77">
      <c r="A192" s="37" t="n">
        <v>46475</v>
      </c>
      <c r="B192" s="26" t="n"/>
      <c r="C192" s="28" t="n"/>
      <c r="D192" s="29" t="n"/>
      <c r="E192" s="26" t="n"/>
      <c r="F192" s="28" t="n"/>
      <c r="G192" s="31" t="n"/>
      <c r="H192" s="26" t="n"/>
      <c r="I192" s="28" t="n"/>
      <c r="J192" s="31" t="n"/>
      <c r="K192" s="38" t="n"/>
      <c r="L192" s="39" t="n"/>
      <c r="M192" s="34" t="n"/>
      <c r="N192" s="34" t="n"/>
      <c r="O192" s="34" t="n"/>
      <c r="P192" s="72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77">
      <c r="A193" s="37" t="n">
        <v>46476</v>
      </c>
      <c r="B193" s="41" t="n"/>
      <c r="C193" s="42" t="n"/>
      <c r="D193" s="43" t="n"/>
      <c r="E193" s="41" t="n"/>
      <c r="F193" s="42" t="n"/>
      <c r="G193" s="44" t="n"/>
      <c r="H193" s="41" t="n"/>
      <c r="I193" s="42" t="n"/>
      <c r="J193" s="44" t="n"/>
      <c r="K193" s="45" t="n"/>
      <c r="L193" s="46" t="n"/>
      <c r="M193" s="164" t="n"/>
      <c r="N193" s="164" t="n"/>
      <c r="O193" s="164" t="n"/>
      <c r="P193" s="48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77">
      <c r="A194" s="37" t="n">
        <v>46477</v>
      </c>
      <c r="B194" s="41" t="n"/>
      <c r="C194" s="42" t="n"/>
      <c r="D194" s="43" t="n"/>
      <c r="E194" s="41" t="n"/>
      <c r="F194" s="42" t="n"/>
      <c r="G194" s="44" t="n"/>
      <c r="H194" s="41" t="n"/>
      <c r="I194" s="42" t="n"/>
      <c r="J194" s="44" t="n"/>
      <c r="K194" s="45" t="n"/>
      <c r="L194" s="46" t="n"/>
      <c r="M194" s="164" t="n"/>
      <c r="N194" s="164" t="n"/>
      <c r="O194" s="164" t="n"/>
      <c r="P194" s="48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77">
      <c r="A195" s="37" t="n">
        <v>46478</v>
      </c>
      <c r="B195" s="41" t="n"/>
      <c r="C195" s="49" t="n"/>
      <c r="D195" s="50" t="n"/>
      <c r="E195" s="41" t="n"/>
      <c r="F195" s="49" t="n"/>
      <c r="G195" s="44" t="n"/>
      <c r="H195" s="41" t="n"/>
      <c r="I195" s="49" t="n"/>
      <c r="J195" s="44" t="n"/>
      <c r="K195" s="45" t="n"/>
      <c r="L195" s="46" t="n"/>
      <c r="M195" s="164" t="n"/>
      <c r="N195" s="164" t="n"/>
      <c r="O195" s="164" t="n"/>
      <c r="P195" s="48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77">
      <c r="A196" s="37" t="n">
        <v>46479</v>
      </c>
      <c r="B196" s="51" t="n"/>
      <c r="C196" s="52" t="n"/>
      <c r="D196" s="48" t="n"/>
      <c r="E196" s="51" t="n"/>
      <c r="F196" s="52" t="n"/>
      <c r="G196" s="48" t="n"/>
      <c r="H196" s="51" t="n"/>
      <c r="I196" s="52" t="n"/>
      <c r="J196" s="48" t="n"/>
      <c r="K196" s="53" t="n"/>
      <c r="L196" s="54" t="n"/>
      <c r="M196" s="164" t="n"/>
      <c r="N196" s="164" t="n"/>
      <c r="O196" s="164" t="n"/>
      <c r="P196" s="48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77">
      <c r="A197" s="55" t="n"/>
      <c r="B197" s="57" t="n"/>
      <c r="C197" s="57" t="n"/>
      <c r="D197" s="55" t="n"/>
      <c r="E197" s="57" t="n"/>
      <c r="F197" s="57" t="n"/>
      <c r="G197" s="55" t="n"/>
      <c r="H197" s="57" t="n"/>
      <c r="I197" s="57" t="n"/>
      <c r="J197" s="55" t="n"/>
      <c r="K197" s="55" t="n"/>
      <c r="L197" s="54" t="n"/>
      <c r="M197" s="164" t="n"/>
      <c r="N197" s="164" t="n"/>
      <c r="O197" s="164" t="n"/>
      <c r="P197" s="48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77">
      <c r="A198" s="59" t="n"/>
      <c r="B198" s="61" t="n"/>
      <c r="C198" s="61" t="n"/>
      <c r="D198" s="62" t="n"/>
      <c r="E198" s="61" t="n"/>
      <c r="F198" s="61" t="n"/>
      <c r="G198" s="62" t="n"/>
      <c r="H198" s="61" t="n"/>
      <c r="I198" s="61" t="n"/>
      <c r="J198" s="62" t="n"/>
      <c r="K198" s="62" t="n"/>
      <c r="L198" s="65" t="n"/>
      <c r="M198" s="66" t="n"/>
      <c r="N198" s="66" t="n"/>
      <c r="O198" s="66" t="n"/>
      <c r="P198" s="70">
        <f>SUMPRODUCT(VALUE(K192:K196))-(SUM(L192:L196))</f>
        <v/>
      </c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77">
      <c r="A199" s="37" t="n">
        <v>46482</v>
      </c>
      <c r="B199" s="26" t="n"/>
      <c r="C199" s="28" t="n"/>
      <c r="D199" s="29" t="n"/>
      <c r="E199" s="26" t="n"/>
      <c r="F199" s="28" t="n"/>
      <c r="G199" s="31" t="n"/>
      <c r="H199" s="26" t="n"/>
      <c r="I199" s="28" t="n"/>
      <c r="J199" s="31" t="n"/>
      <c r="K199" s="38" t="n"/>
      <c r="L199" s="39" t="n"/>
      <c r="M199" s="34" t="n"/>
      <c r="N199" s="34" t="n"/>
      <c r="O199" s="34" t="n"/>
      <c r="P199" s="72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77">
      <c r="A200" s="37" t="n">
        <v>46483</v>
      </c>
      <c r="B200" s="41" t="n"/>
      <c r="C200" s="42" t="n"/>
      <c r="D200" s="43" t="n"/>
      <c r="E200" s="41" t="n"/>
      <c r="F200" s="42" t="n"/>
      <c r="G200" s="44" t="n"/>
      <c r="H200" s="41" t="n"/>
      <c r="I200" s="42" t="n"/>
      <c r="J200" s="44" t="n"/>
      <c r="K200" s="45" t="n"/>
      <c r="L200" s="46" t="n"/>
      <c r="M200" s="164" t="n"/>
      <c r="N200" s="164" t="n"/>
      <c r="O200" s="164" t="n"/>
      <c r="P200" s="48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77">
      <c r="A201" s="37" t="n">
        <v>46484</v>
      </c>
      <c r="B201" s="41" t="n"/>
      <c r="C201" s="42" t="n"/>
      <c r="D201" s="43" t="n"/>
      <c r="E201" s="41" t="n"/>
      <c r="F201" s="42" t="n"/>
      <c r="G201" s="44" t="n"/>
      <c r="H201" s="41" t="n"/>
      <c r="I201" s="42" t="n"/>
      <c r="J201" s="44" t="n"/>
      <c r="K201" s="45" t="n"/>
      <c r="L201" s="46" t="n"/>
      <c r="M201" s="164" t="n"/>
      <c r="N201" s="164" t="n"/>
      <c r="O201" s="164" t="n"/>
      <c r="P201" s="48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77">
      <c r="A202" s="37" t="n">
        <v>46485</v>
      </c>
      <c r="B202" s="41" t="n"/>
      <c r="C202" s="49" t="n"/>
      <c r="D202" s="50" t="n"/>
      <c r="E202" s="41" t="n"/>
      <c r="F202" s="49" t="n"/>
      <c r="G202" s="44" t="n"/>
      <c r="H202" s="41" t="n"/>
      <c r="I202" s="49" t="n"/>
      <c r="J202" s="44" t="n"/>
      <c r="K202" s="45" t="n"/>
      <c r="L202" s="46" t="n"/>
      <c r="M202" s="164" t="n"/>
      <c r="N202" s="164" t="n"/>
      <c r="O202" s="164" t="n"/>
      <c r="P202" s="48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77">
      <c r="A203" s="37" t="n">
        <v>46486</v>
      </c>
      <c r="B203" s="51" t="n"/>
      <c r="C203" s="52" t="n"/>
      <c r="D203" s="48" t="n"/>
      <c r="E203" s="51" t="n"/>
      <c r="F203" s="52" t="n"/>
      <c r="G203" s="48" t="n"/>
      <c r="H203" s="51" t="n"/>
      <c r="I203" s="52" t="n"/>
      <c r="J203" s="48" t="n"/>
      <c r="K203" s="53" t="n"/>
      <c r="L203" s="54" t="n"/>
      <c r="M203" s="164" t="n"/>
      <c r="N203" s="164" t="n"/>
      <c r="O203" s="164" t="n"/>
      <c r="P203" s="48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77">
      <c r="A204" s="55" t="n"/>
      <c r="B204" s="57" t="n"/>
      <c r="C204" s="57" t="n"/>
      <c r="D204" s="55" t="n"/>
      <c r="E204" s="57" t="n"/>
      <c r="F204" s="57" t="n"/>
      <c r="G204" s="55" t="n"/>
      <c r="H204" s="57" t="n"/>
      <c r="I204" s="57" t="n"/>
      <c r="J204" s="55" t="n"/>
      <c r="K204" s="55" t="n"/>
      <c r="L204" s="54" t="n"/>
      <c r="M204" s="164" t="n"/>
      <c r="N204" s="164" t="n"/>
      <c r="O204" s="164" t="n"/>
      <c r="P204" s="48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77">
      <c r="A205" s="59" t="n"/>
      <c r="B205" s="61" t="n"/>
      <c r="C205" s="61" t="n"/>
      <c r="D205" s="62" t="n"/>
      <c r="E205" s="61" t="n"/>
      <c r="F205" s="61" t="n"/>
      <c r="G205" s="62" t="n"/>
      <c r="H205" s="61" t="n"/>
      <c r="I205" s="61" t="n"/>
      <c r="J205" s="62" t="n"/>
      <c r="K205" s="62" t="n"/>
      <c r="L205" s="65" t="n"/>
      <c r="M205" s="66" t="n"/>
      <c r="N205" s="66" t="n"/>
      <c r="O205" s="66" t="n"/>
      <c r="P205" s="70">
        <f>SUMPRODUCT(VALUE(K199:K203))-(SUM(L199:L203))</f>
        <v/>
      </c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77">
      <c r="A206" s="37" t="n">
        <v>46489</v>
      </c>
      <c r="B206" s="26" t="n"/>
      <c r="C206" s="28" t="n"/>
      <c r="D206" s="29" t="n"/>
      <c r="E206" s="26" t="n"/>
      <c r="F206" s="28" t="n"/>
      <c r="G206" s="31" t="n"/>
      <c r="H206" s="26" t="n"/>
      <c r="I206" s="28" t="n"/>
      <c r="J206" s="31" t="n"/>
      <c r="K206" s="38" t="n"/>
      <c r="L206" s="39" t="n"/>
      <c r="M206" s="34" t="n"/>
      <c r="N206" s="34" t="n"/>
      <c r="O206" s="34" t="n"/>
      <c r="P206" s="72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77">
      <c r="A207" s="37" t="n">
        <v>46490</v>
      </c>
      <c r="B207" s="41" t="n"/>
      <c r="C207" s="42" t="n"/>
      <c r="D207" s="43" t="n"/>
      <c r="E207" s="41" t="n"/>
      <c r="F207" s="42" t="n"/>
      <c r="G207" s="44" t="n"/>
      <c r="H207" s="41" t="n"/>
      <c r="I207" s="42" t="n"/>
      <c r="J207" s="44" t="n"/>
      <c r="K207" s="45" t="n"/>
      <c r="L207" s="46" t="n"/>
      <c r="M207" s="164" t="n"/>
      <c r="N207" s="164" t="n"/>
      <c r="O207" s="164" t="n"/>
      <c r="P207" s="48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77">
      <c r="A208" s="37" t="n">
        <v>46491</v>
      </c>
      <c r="B208" s="41" t="n"/>
      <c r="C208" s="42" t="n"/>
      <c r="D208" s="43" t="n"/>
      <c r="E208" s="41" t="n"/>
      <c r="F208" s="42" t="n"/>
      <c r="G208" s="44" t="n"/>
      <c r="H208" s="41" t="n"/>
      <c r="I208" s="42" t="n"/>
      <c r="J208" s="44" t="n"/>
      <c r="K208" s="45" t="n"/>
      <c r="L208" s="46" t="n"/>
      <c r="M208" s="164" t="n"/>
      <c r="N208" s="164" t="n"/>
      <c r="O208" s="164" t="n"/>
      <c r="P208" s="48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77">
      <c r="A209" s="37" t="n">
        <v>46492</v>
      </c>
      <c r="B209" s="41" t="n"/>
      <c r="C209" s="49" t="n"/>
      <c r="D209" s="50" t="n"/>
      <c r="E209" s="41" t="n"/>
      <c r="F209" s="49" t="n"/>
      <c r="G209" s="44" t="n"/>
      <c r="H209" s="41" t="n"/>
      <c r="I209" s="49" t="n"/>
      <c r="J209" s="44" t="n"/>
      <c r="K209" s="45" t="n"/>
      <c r="L209" s="46" t="n"/>
      <c r="M209" s="164" t="n"/>
      <c r="N209" s="164" t="n"/>
      <c r="O209" s="164" t="n"/>
      <c r="P209" s="48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77">
      <c r="A210" s="37" t="n">
        <v>46493</v>
      </c>
      <c r="B210" s="51" t="n"/>
      <c r="C210" s="52" t="n"/>
      <c r="D210" s="48" t="n"/>
      <c r="E210" s="51" t="n"/>
      <c r="F210" s="52" t="n"/>
      <c r="G210" s="48" t="n"/>
      <c r="H210" s="51" t="n"/>
      <c r="I210" s="52" t="n"/>
      <c r="J210" s="48" t="n"/>
      <c r="K210" s="53" t="n"/>
      <c r="L210" s="54" t="n"/>
      <c r="M210" s="164" t="n"/>
      <c r="N210" s="164" t="n"/>
      <c r="O210" s="164" t="n"/>
      <c r="P210" s="48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77">
      <c r="A211" s="55" t="n"/>
      <c r="B211" s="57" t="n"/>
      <c r="C211" s="57" t="n"/>
      <c r="D211" s="55" t="n"/>
      <c r="E211" s="57" t="n"/>
      <c r="F211" s="57" t="n"/>
      <c r="G211" s="55" t="n"/>
      <c r="H211" s="57" t="n"/>
      <c r="I211" s="57" t="n"/>
      <c r="J211" s="55" t="n"/>
      <c r="K211" s="55" t="n"/>
      <c r="L211" s="54" t="n"/>
      <c r="M211" s="164" t="n"/>
      <c r="N211" s="164" t="n"/>
      <c r="O211" s="164" t="n"/>
      <c r="P211" s="48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77">
      <c r="A212" s="59" t="n"/>
      <c r="B212" s="61" t="n"/>
      <c r="C212" s="61" t="n"/>
      <c r="D212" s="62" t="n"/>
      <c r="E212" s="61" t="n"/>
      <c r="F212" s="61" t="n"/>
      <c r="G212" s="62" t="n"/>
      <c r="H212" s="61" t="n"/>
      <c r="I212" s="61" t="n"/>
      <c r="J212" s="62" t="n"/>
      <c r="K212" s="62" t="n"/>
      <c r="L212" s="65" t="n"/>
      <c r="M212" s="66" t="n"/>
      <c r="N212" s="66" t="n"/>
      <c r="O212" s="66" t="n"/>
      <c r="P212" s="70">
        <f>SUMPRODUCT(VALUE(K206:K210))-(SUM(L206:L210))</f>
        <v/>
      </c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77">
      <c r="A213" s="37" t="n">
        <v>46496</v>
      </c>
      <c r="B213" s="26" t="n"/>
      <c r="C213" s="28" t="n"/>
      <c r="D213" s="29" t="n"/>
      <c r="E213" s="26" t="n"/>
      <c r="F213" s="28" t="n"/>
      <c r="G213" s="31" t="n"/>
      <c r="H213" s="26" t="n"/>
      <c r="I213" s="28" t="n"/>
      <c r="J213" s="31" t="n"/>
      <c r="K213" s="38" t="n"/>
      <c r="L213" s="39" t="n"/>
      <c r="M213" s="34" t="n"/>
      <c r="N213" s="34" t="n"/>
      <c r="O213" s="34" t="n"/>
      <c r="P213" s="72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77">
      <c r="A214" s="37" t="n">
        <v>46497</v>
      </c>
      <c r="B214" s="41" t="n"/>
      <c r="C214" s="42" t="n"/>
      <c r="D214" s="43" t="n"/>
      <c r="E214" s="41" t="n"/>
      <c r="F214" s="42" t="n"/>
      <c r="G214" s="44" t="n"/>
      <c r="H214" s="41" t="n"/>
      <c r="I214" s="42" t="n"/>
      <c r="J214" s="44" t="n"/>
      <c r="K214" s="45" t="n"/>
      <c r="L214" s="46" t="n"/>
      <c r="M214" s="164" t="n"/>
      <c r="N214" s="164" t="n"/>
      <c r="O214" s="164" t="n"/>
      <c r="P214" s="48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77">
      <c r="A215" s="37" t="n">
        <v>46498</v>
      </c>
      <c r="B215" s="41" t="n"/>
      <c r="C215" s="42" t="n"/>
      <c r="D215" s="43" t="n"/>
      <c r="E215" s="41" t="n"/>
      <c r="F215" s="42" t="n"/>
      <c r="G215" s="44" t="n"/>
      <c r="H215" s="41" t="n"/>
      <c r="I215" s="42" t="n"/>
      <c r="J215" s="44" t="n"/>
      <c r="K215" s="45" t="n"/>
      <c r="L215" s="46" t="n"/>
      <c r="M215" s="164" t="n"/>
      <c r="N215" s="164" t="n"/>
      <c r="O215" s="164" t="n"/>
      <c r="P215" s="48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77">
      <c r="A216" s="37" t="n">
        <v>46499</v>
      </c>
      <c r="B216" s="41" t="n"/>
      <c r="C216" s="49" t="n"/>
      <c r="D216" s="50" t="n"/>
      <c r="E216" s="41" t="n"/>
      <c r="F216" s="49" t="n"/>
      <c r="G216" s="44" t="n"/>
      <c r="H216" s="41" t="n"/>
      <c r="I216" s="49" t="n"/>
      <c r="J216" s="44" t="n"/>
      <c r="K216" s="45" t="n"/>
      <c r="L216" s="46" t="n"/>
      <c r="M216" s="164" t="n"/>
      <c r="N216" s="164" t="n"/>
      <c r="O216" s="164" t="n"/>
      <c r="P216" s="48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77">
      <c r="A217" s="37" t="n">
        <v>46500</v>
      </c>
      <c r="B217" s="51" t="n"/>
      <c r="C217" s="52" t="n"/>
      <c r="D217" s="48" t="n"/>
      <c r="E217" s="51" t="n"/>
      <c r="F217" s="52" t="n"/>
      <c r="G217" s="48" t="n"/>
      <c r="H217" s="51" t="n"/>
      <c r="I217" s="52" t="n"/>
      <c r="J217" s="48" t="n"/>
      <c r="K217" s="53" t="n"/>
      <c r="L217" s="54" t="n"/>
      <c r="M217" s="164" t="n"/>
      <c r="N217" s="164" t="n"/>
      <c r="O217" s="164" t="n"/>
      <c r="P217" s="48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77">
      <c r="A218" s="55" t="n"/>
      <c r="B218" s="57" t="n"/>
      <c r="C218" s="57" t="n"/>
      <c r="D218" s="55" t="n"/>
      <c r="E218" s="57" t="n"/>
      <c r="F218" s="57" t="n"/>
      <c r="G218" s="55" t="n"/>
      <c r="H218" s="57" t="n"/>
      <c r="I218" s="57" t="n"/>
      <c r="J218" s="55" t="n"/>
      <c r="K218" s="55" t="n"/>
      <c r="L218" s="54" t="n"/>
      <c r="M218" s="164" t="n"/>
      <c r="N218" s="164" t="n"/>
      <c r="O218" s="164" t="n"/>
      <c r="P218" s="48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77">
      <c r="A219" s="59" t="n"/>
      <c r="B219" s="61" t="n"/>
      <c r="C219" s="61" t="n"/>
      <c r="D219" s="62" t="n"/>
      <c r="E219" s="61" t="n"/>
      <c r="F219" s="61" t="n"/>
      <c r="G219" s="62" t="n"/>
      <c r="H219" s="61" t="n"/>
      <c r="I219" s="61" t="n"/>
      <c r="J219" s="62" t="n"/>
      <c r="K219" s="62" t="n"/>
      <c r="L219" s="65" t="n"/>
      <c r="M219" s="66" t="n"/>
      <c r="N219" s="66" t="n"/>
      <c r="O219" s="66" t="n"/>
      <c r="P219" s="70">
        <f>SUMPRODUCT(VALUE(K213:K217))-(SUM(L213:L217))</f>
        <v/>
      </c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77">
      <c r="A220" s="37" t="n">
        <v>46503</v>
      </c>
      <c r="B220" s="26" t="n"/>
      <c r="C220" s="28" t="n"/>
      <c r="D220" s="29" t="n"/>
      <c r="E220" s="26" t="n"/>
      <c r="F220" s="28" t="n"/>
      <c r="G220" s="31" t="n"/>
      <c r="H220" s="26" t="n"/>
      <c r="I220" s="28" t="n"/>
      <c r="J220" s="31" t="n"/>
      <c r="K220" s="38" t="n"/>
      <c r="L220" s="39" t="n"/>
      <c r="M220" s="34" t="n"/>
      <c r="N220" s="34" t="n"/>
      <c r="O220" s="34" t="n"/>
      <c r="P220" s="72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77">
      <c r="A221" s="37" t="n">
        <v>46504</v>
      </c>
      <c r="B221" s="41" t="n"/>
      <c r="C221" s="42" t="n"/>
      <c r="D221" s="43" t="n"/>
      <c r="E221" s="41" t="n"/>
      <c r="F221" s="42" t="n"/>
      <c r="G221" s="44" t="n"/>
      <c r="H221" s="41" t="n"/>
      <c r="I221" s="42" t="n"/>
      <c r="J221" s="44" t="n"/>
      <c r="K221" s="45" t="n"/>
      <c r="L221" s="46" t="n"/>
      <c r="M221" s="164" t="n"/>
      <c r="N221" s="164" t="n"/>
      <c r="O221" s="164" t="n"/>
      <c r="P221" s="48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77">
      <c r="A222" s="37" t="n">
        <v>46505</v>
      </c>
      <c r="B222" s="41" t="n"/>
      <c r="C222" s="42" t="n"/>
      <c r="D222" s="43" t="n"/>
      <c r="E222" s="41" t="n"/>
      <c r="F222" s="42" t="n"/>
      <c r="G222" s="44" t="n"/>
      <c r="H222" s="41" t="n"/>
      <c r="I222" s="42" t="n"/>
      <c r="J222" s="44" t="n"/>
      <c r="K222" s="45" t="n"/>
      <c r="L222" s="46" t="n"/>
      <c r="M222" s="164" t="n"/>
      <c r="N222" s="164" t="n"/>
      <c r="O222" s="164" t="n"/>
      <c r="P222" s="48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77">
      <c r="A223" s="37" t="n">
        <v>46506</v>
      </c>
      <c r="B223" s="41" t="n"/>
      <c r="C223" s="49" t="n"/>
      <c r="D223" s="50" t="n"/>
      <c r="E223" s="41" t="n"/>
      <c r="F223" s="49" t="n"/>
      <c r="G223" s="44" t="n"/>
      <c r="H223" s="41" t="n"/>
      <c r="I223" s="49" t="n"/>
      <c r="J223" s="44" t="n"/>
      <c r="K223" s="45" t="n"/>
      <c r="L223" s="46" t="n"/>
      <c r="M223" s="164" t="n"/>
      <c r="N223" s="164" t="n"/>
      <c r="O223" s="164" t="n"/>
      <c r="P223" s="48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77">
      <c r="A224" s="37" t="n">
        <v>46507</v>
      </c>
      <c r="B224" s="51" t="n"/>
      <c r="C224" s="52" t="n"/>
      <c r="D224" s="48" t="n"/>
      <c r="E224" s="51" t="n"/>
      <c r="F224" s="52" t="n"/>
      <c r="G224" s="48" t="n"/>
      <c r="H224" s="51" t="n"/>
      <c r="I224" s="52" t="n"/>
      <c r="J224" s="48" t="n"/>
      <c r="K224" s="53" t="n"/>
      <c r="L224" s="54" t="n"/>
      <c r="M224" s="164" t="n"/>
      <c r="N224" s="164" t="n"/>
      <c r="O224" s="164" t="n"/>
      <c r="P224" s="48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77">
      <c r="A225" s="55" t="n"/>
      <c r="B225" s="57" t="n"/>
      <c r="C225" s="57" t="n"/>
      <c r="D225" s="55" t="n"/>
      <c r="E225" s="57" t="n"/>
      <c r="F225" s="57" t="n"/>
      <c r="G225" s="55" t="n"/>
      <c r="H225" s="57" t="n"/>
      <c r="I225" s="57" t="n"/>
      <c r="J225" s="55" t="n"/>
      <c r="K225" s="55" t="n"/>
      <c r="L225" s="54" t="n"/>
      <c r="M225" s="164" t="n"/>
      <c r="N225" s="164" t="n"/>
      <c r="O225" s="164" t="n"/>
      <c r="P225" s="48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77">
      <c r="A226" s="59" t="n"/>
      <c r="B226" s="61" t="n"/>
      <c r="C226" s="61" t="n"/>
      <c r="D226" s="62" t="n"/>
      <c r="E226" s="61" t="n"/>
      <c r="F226" s="61" t="n"/>
      <c r="G226" s="62" t="n"/>
      <c r="H226" s="61" t="n"/>
      <c r="I226" s="61" t="n"/>
      <c r="J226" s="62" t="n"/>
      <c r="K226" s="62" t="n"/>
      <c r="L226" s="65" t="n"/>
      <c r="M226" s="66" t="n"/>
      <c r="N226" s="66" t="n"/>
      <c r="O226" s="66" t="n"/>
      <c r="P226" s="70">
        <f>SUMPRODUCT(VALUE(K220:K224))-(SUM(L220:L224))</f>
        <v/>
      </c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77">
      <c r="A227" s="37" t="n">
        <v>46510</v>
      </c>
      <c r="B227" s="26" t="n"/>
      <c r="C227" s="28" t="n"/>
      <c r="D227" s="29" t="n"/>
      <c r="E227" s="26" t="n"/>
      <c r="F227" s="28" t="n"/>
      <c r="G227" s="31" t="n"/>
      <c r="H227" s="26" t="n"/>
      <c r="I227" s="28" t="n"/>
      <c r="J227" s="31" t="n"/>
      <c r="K227" s="38" t="n"/>
      <c r="L227" s="39" t="n"/>
      <c r="M227" s="34" t="n"/>
      <c r="N227" s="34" t="n"/>
      <c r="O227" s="34" t="n"/>
      <c r="P227" s="72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77">
      <c r="A228" s="37" t="n">
        <v>46511</v>
      </c>
      <c r="B228" s="41" t="n"/>
      <c r="C228" s="42" t="n"/>
      <c r="D228" s="43" t="n"/>
      <c r="E228" s="41" t="n"/>
      <c r="F228" s="42" t="n"/>
      <c r="G228" s="44" t="n"/>
      <c r="H228" s="41" t="n"/>
      <c r="I228" s="42" t="n"/>
      <c r="J228" s="44" t="n"/>
      <c r="K228" s="45" t="n"/>
      <c r="L228" s="46" t="n"/>
      <c r="M228" s="164" t="n"/>
      <c r="N228" s="164" t="n"/>
      <c r="O228" s="164" t="n"/>
      <c r="P228" s="48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77">
      <c r="A229" s="37" t="n">
        <v>46512</v>
      </c>
      <c r="B229" s="41" t="n"/>
      <c r="C229" s="42" t="n"/>
      <c r="D229" s="43" t="n"/>
      <c r="E229" s="41" t="n"/>
      <c r="F229" s="42" t="n"/>
      <c r="G229" s="44" t="n"/>
      <c r="H229" s="41" t="n"/>
      <c r="I229" s="42" t="n"/>
      <c r="J229" s="44" t="n"/>
      <c r="K229" s="45" t="n"/>
      <c r="L229" s="46" t="n"/>
      <c r="M229" s="164" t="n"/>
      <c r="N229" s="164" t="n"/>
      <c r="O229" s="164" t="n"/>
      <c r="P229" s="48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77">
      <c r="A230" s="37" t="n">
        <v>46513</v>
      </c>
      <c r="B230" s="41" t="n"/>
      <c r="C230" s="49" t="n"/>
      <c r="D230" s="50" t="n"/>
      <c r="E230" s="41" t="n"/>
      <c r="F230" s="49" t="n"/>
      <c r="G230" s="44" t="n"/>
      <c r="H230" s="41" t="n"/>
      <c r="I230" s="49" t="n"/>
      <c r="J230" s="44" t="n"/>
      <c r="K230" s="45" t="n"/>
      <c r="L230" s="46" t="n"/>
      <c r="M230" s="164" t="n"/>
      <c r="N230" s="164" t="n"/>
      <c r="O230" s="164" t="n"/>
      <c r="P230" s="48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77">
      <c r="A231" s="37" t="n">
        <v>46514</v>
      </c>
      <c r="B231" s="51" t="n"/>
      <c r="C231" s="52" t="n"/>
      <c r="D231" s="48" t="n"/>
      <c r="E231" s="51" t="n"/>
      <c r="F231" s="52" t="n"/>
      <c r="G231" s="48" t="n"/>
      <c r="H231" s="51" t="n"/>
      <c r="I231" s="52" t="n"/>
      <c r="J231" s="48" t="n"/>
      <c r="K231" s="53" t="n"/>
      <c r="L231" s="54" t="n"/>
      <c r="M231" s="164" t="n"/>
      <c r="N231" s="164" t="n"/>
      <c r="O231" s="164" t="n"/>
      <c r="P231" s="48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77">
      <c r="A232" s="55" t="n"/>
      <c r="B232" s="57" t="n"/>
      <c r="C232" s="57" t="n"/>
      <c r="D232" s="55" t="n"/>
      <c r="E232" s="57" t="n"/>
      <c r="F232" s="57" t="n"/>
      <c r="G232" s="55" t="n"/>
      <c r="H232" s="57" t="n"/>
      <c r="I232" s="57" t="n"/>
      <c r="J232" s="55" t="n"/>
      <c r="K232" s="55" t="n"/>
      <c r="L232" s="54" t="n"/>
      <c r="M232" s="164" t="n"/>
      <c r="N232" s="164" t="n"/>
      <c r="O232" s="164" t="n"/>
      <c r="P232" s="48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77">
      <c r="A233" s="59" t="n"/>
      <c r="B233" s="61" t="n"/>
      <c r="C233" s="61" t="n"/>
      <c r="D233" s="62" t="n"/>
      <c r="E233" s="61" t="n"/>
      <c r="F233" s="61" t="n"/>
      <c r="G233" s="62" t="n"/>
      <c r="H233" s="61" t="n"/>
      <c r="I233" s="61" t="n"/>
      <c r="J233" s="62" t="n"/>
      <c r="K233" s="62" t="n"/>
      <c r="L233" s="65" t="n"/>
      <c r="M233" s="66" t="n"/>
      <c r="N233" s="66" t="n"/>
      <c r="O233" s="66" t="n"/>
      <c r="P233" s="70">
        <f>SUMPRODUCT(VALUE(K227:K231))-(SUM(L227:L231))</f>
        <v/>
      </c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77">
      <c r="A234" s="37" t="n">
        <v>46517</v>
      </c>
      <c r="B234" s="26" t="n"/>
      <c r="C234" s="28" t="n"/>
      <c r="D234" s="29" t="n"/>
      <c r="E234" s="26" t="n"/>
      <c r="F234" s="28" t="n"/>
      <c r="G234" s="31" t="n"/>
      <c r="H234" s="26" t="n"/>
      <c r="I234" s="28" t="n"/>
      <c r="J234" s="31" t="n"/>
      <c r="K234" s="38" t="n"/>
      <c r="L234" s="39" t="n"/>
      <c r="M234" s="34" t="n"/>
      <c r="N234" s="34" t="n"/>
      <c r="O234" s="34" t="n"/>
      <c r="P234" s="72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77">
      <c r="A235" s="37" t="n">
        <v>46518</v>
      </c>
      <c r="B235" s="41" t="n"/>
      <c r="C235" s="42" t="n"/>
      <c r="D235" s="43" t="n"/>
      <c r="E235" s="41" t="n"/>
      <c r="F235" s="42" t="n"/>
      <c r="G235" s="44" t="n"/>
      <c r="H235" s="41" t="n"/>
      <c r="I235" s="42" t="n"/>
      <c r="J235" s="44" t="n"/>
      <c r="K235" s="45" t="n"/>
      <c r="L235" s="46" t="n"/>
      <c r="M235" s="164" t="n"/>
      <c r="N235" s="164" t="n"/>
      <c r="O235" s="164" t="n"/>
      <c r="P235" s="48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77">
      <c r="A236" s="37" t="n">
        <v>46519</v>
      </c>
      <c r="B236" s="41" t="n"/>
      <c r="C236" s="42" t="n"/>
      <c r="D236" s="43" t="n"/>
      <c r="E236" s="41" t="n"/>
      <c r="F236" s="42" t="n"/>
      <c r="G236" s="44" t="n"/>
      <c r="H236" s="41" t="n"/>
      <c r="I236" s="42" t="n"/>
      <c r="J236" s="44" t="n"/>
      <c r="K236" s="45" t="n"/>
      <c r="L236" s="46" t="n"/>
      <c r="M236" s="164" t="n"/>
      <c r="N236" s="164" t="n"/>
      <c r="O236" s="164" t="n"/>
      <c r="P236" s="48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77">
      <c r="A237" s="37" t="n">
        <v>46520</v>
      </c>
      <c r="B237" s="41" t="n"/>
      <c r="C237" s="49" t="n"/>
      <c r="D237" s="50" t="n"/>
      <c r="E237" s="41" t="n"/>
      <c r="F237" s="49" t="n"/>
      <c r="G237" s="44" t="n"/>
      <c r="H237" s="41" t="n"/>
      <c r="I237" s="49" t="n"/>
      <c r="J237" s="44" t="n"/>
      <c r="K237" s="45" t="n"/>
      <c r="L237" s="46" t="n"/>
      <c r="M237" s="164" t="n"/>
      <c r="N237" s="164" t="n"/>
      <c r="O237" s="164" t="n"/>
      <c r="P237" s="48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77">
      <c r="A238" s="37" t="n">
        <v>46521</v>
      </c>
      <c r="B238" s="51" t="n"/>
      <c r="C238" s="52" t="n"/>
      <c r="D238" s="48" t="n"/>
      <c r="E238" s="51" t="n"/>
      <c r="F238" s="52" t="n"/>
      <c r="G238" s="48" t="n"/>
      <c r="H238" s="51" t="n"/>
      <c r="I238" s="52" t="n"/>
      <c r="J238" s="48" t="n"/>
      <c r="K238" s="53" t="n"/>
      <c r="L238" s="54" t="n"/>
      <c r="M238" s="164" t="n"/>
      <c r="N238" s="164" t="n"/>
      <c r="O238" s="164" t="n"/>
      <c r="P238" s="48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77">
      <c r="A239" s="55" t="n"/>
      <c r="B239" s="57" t="n"/>
      <c r="C239" s="57" t="n"/>
      <c r="D239" s="55" t="n"/>
      <c r="E239" s="57" t="n"/>
      <c r="F239" s="57" t="n"/>
      <c r="G239" s="55" t="n"/>
      <c r="H239" s="57" t="n"/>
      <c r="I239" s="57" t="n"/>
      <c r="J239" s="55" t="n"/>
      <c r="K239" s="55" t="n"/>
      <c r="L239" s="54" t="n"/>
      <c r="M239" s="164" t="n"/>
      <c r="N239" s="164" t="n"/>
      <c r="O239" s="164" t="n"/>
      <c r="P239" s="48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77">
      <c r="A240" s="59" t="n"/>
      <c r="B240" s="61" t="n"/>
      <c r="C240" s="61" t="n"/>
      <c r="D240" s="62" t="n"/>
      <c r="E240" s="61" t="n"/>
      <c r="F240" s="61" t="n"/>
      <c r="G240" s="62" t="n"/>
      <c r="H240" s="61" t="n"/>
      <c r="I240" s="61" t="n"/>
      <c r="J240" s="62" t="n"/>
      <c r="K240" s="62" t="n"/>
      <c r="L240" s="65" t="n"/>
      <c r="M240" s="66" t="n"/>
      <c r="N240" s="66" t="n"/>
      <c r="O240" s="66" t="n"/>
      <c r="P240" s="70">
        <f>SUMPRODUCT(VALUE(K234:K238))-(SUM(L234:L238))</f>
        <v/>
      </c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77">
      <c r="A241" s="37" t="n">
        <v>46524</v>
      </c>
      <c r="B241" s="26" t="n"/>
      <c r="C241" s="28" t="n"/>
      <c r="D241" s="29" t="n"/>
      <c r="E241" s="26" t="n"/>
      <c r="F241" s="28" t="n"/>
      <c r="G241" s="31" t="n"/>
      <c r="H241" s="26" t="n"/>
      <c r="I241" s="28" t="n"/>
      <c r="J241" s="31" t="n"/>
      <c r="K241" s="38" t="n"/>
      <c r="L241" s="39" t="n"/>
      <c r="M241" s="34" t="n"/>
      <c r="N241" s="34" t="n"/>
      <c r="O241" s="34" t="n"/>
      <c r="P241" s="72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77">
      <c r="A242" s="37" t="n">
        <v>46525</v>
      </c>
      <c r="B242" s="41" t="n"/>
      <c r="C242" s="42" t="n"/>
      <c r="D242" s="43" t="n"/>
      <c r="E242" s="41" t="n"/>
      <c r="F242" s="42" t="n"/>
      <c r="G242" s="44" t="n"/>
      <c r="H242" s="41" t="n"/>
      <c r="I242" s="42" t="n"/>
      <c r="J242" s="44" t="n"/>
      <c r="K242" s="45" t="n"/>
      <c r="L242" s="46" t="n"/>
      <c r="M242" s="164" t="n"/>
      <c r="N242" s="164" t="n"/>
      <c r="O242" s="164" t="n"/>
      <c r="P242" s="48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77">
      <c r="A243" s="37" t="n">
        <v>46526</v>
      </c>
      <c r="B243" s="41" t="n"/>
      <c r="C243" s="42" t="n"/>
      <c r="D243" s="43" t="n"/>
      <c r="E243" s="41" t="n"/>
      <c r="F243" s="42" t="n"/>
      <c r="G243" s="44" t="n"/>
      <c r="H243" s="41" t="n"/>
      <c r="I243" s="42" t="n"/>
      <c r="J243" s="44" t="n"/>
      <c r="K243" s="45" t="n"/>
      <c r="L243" s="46" t="n"/>
      <c r="M243" s="164" t="n"/>
      <c r="N243" s="164" t="n"/>
      <c r="O243" s="164" t="n"/>
      <c r="P243" s="48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77">
      <c r="A244" s="37" t="n">
        <v>46527</v>
      </c>
      <c r="B244" s="41" t="n"/>
      <c r="C244" s="49" t="n"/>
      <c r="D244" s="50" t="n"/>
      <c r="E244" s="41" t="n"/>
      <c r="F244" s="49" t="n"/>
      <c r="G244" s="44" t="n"/>
      <c r="H244" s="41" t="n"/>
      <c r="I244" s="49" t="n"/>
      <c r="J244" s="44" t="n"/>
      <c r="K244" s="45" t="n"/>
      <c r="L244" s="46" t="n"/>
      <c r="M244" s="164" t="n"/>
      <c r="N244" s="164" t="n"/>
      <c r="O244" s="164" t="n"/>
      <c r="P244" s="48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77">
      <c r="A245" s="37" t="n">
        <v>46528</v>
      </c>
      <c r="B245" s="51" t="n"/>
      <c r="C245" s="52" t="n"/>
      <c r="D245" s="48" t="n"/>
      <c r="E245" s="51" t="n"/>
      <c r="F245" s="52" t="n"/>
      <c r="G245" s="48" t="n"/>
      <c r="H245" s="51" t="n"/>
      <c r="I245" s="52" t="n"/>
      <c r="J245" s="48" t="n"/>
      <c r="K245" s="53" t="n"/>
      <c r="L245" s="54" t="n"/>
      <c r="M245" s="164" t="n"/>
      <c r="N245" s="164" t="n"/>
      <c r="O245" s="164" t="n"/>
      <c r="P245" s="48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77">
      <c r="A246" s="55" t="n"/>
      <c r="B246" s="57" t="n"/>
      <c r="C246" s="57" t="n"/>
      <c r="D246" s="55" t="n"/>
      <c r="E246" s="57" t="n"/>
      <c r="F246" s="57" t="n"/>
      <c r="G246" s="55" t="n"/>
      <c r="H246" s="57" t="n"/>
      <c r="I246" s="57" t="n"/>
      <c r="J246" s="55" t="n"/>
      <c r="K246" s="55" t="n"/>
      <c r="L246" s="54" t="n"/>
      <c r="M246" s="164" t="n"/>
      <c r="N246" s="164" t="n"/>
      <c r="O246" s="164" t="n"/>
      <c r="P246" s="48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77">
      <c r="A247" s="59" t="n"/>
      <c r="B247" s="61" t="n"/>
      <c r="C247" s="61" t="n"/>
      <c r="D247" s="62" t="n"/>
      <c r="E247" s="61" t="n"/>
      <c r="F247" s="61" t="n"/>
      <c r="G247" s="62" t="n"/>
      <c r="H247" s="61" t="n"/>
      <c r="I247" s="61" t="n"/>
      <c r="J247" s="62" t="n"/>
      <c r="K247" s="62" t="n"/>
      <c r="L247" s="65" t="n"/>
      <c r="M247" s="66" t="n"/>
      <c r="N247" s="66" t="n"/>
      <c r="O247" s="66" t="n"/>
      <c r="P247" s="70">
        <f>SUMPRODUCT(VALUE(K241:K245))-(SUM(L241:L245))</f>
        <v/>
      </c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77">
      <c r="A248" s="37" t="n">
        <v>46531</v>
      </c>
      <c r="B248" s="26" t="n"/>
      <c r="C248" s="28" t="n"/>
      <c r="D248" s="29" t="n"/>
      <c r="E248" s="26" t="n"/>
      <c r="F248" s="28" t="n"/>
      <c r="G248" s="31" t="n"/>
      <c r="H248" s="26" t="n"/>
      <c r="I248" s="28" t="n"/>
      <c r="J248" s="31" t="n"/>
      <c r="K248" s="38" t="n"/>
      <c r="L248" s="39" t="n"/>
      <c r="M248" s="34" t="n"/>
      <c r="N248" s="34" t="n"/>
      <c r="O248" s="34" t="n"/>
      <c r="P248" s="72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77">
      <c r="A249" s="37" t="n">
        <v>46532</v>
      </c>
      <c r="B249" s="41" t="n"/>
      <c r="C249" s="42" t="n"/>
      <c r="D249" s="43" t="n"/>
      <c r="E249" s="41" t="n"/>
      <c r="F249" s="42" t="n"/>
      <c r="G249" s="44" t="n"/>
      <c r="H249" s="41" t="n"/>
      <c r="I249" s="42" t="n"/>
      <c r="J249" s="44" t="n"/>
      <c r="K249" s="45" t="n"/>
      <c r="L249" s="46" t="n"/>
      <c r="M249" s="164" t="n"/>
      <c r="N249" s="164" t="n"/>
      <c r="O249" s="164" t="n"/>
      <c r="P249" s="48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77">
      <c r="A250" s="37" t="n">
        <v>46533</v>
      </c>
      <c r="B250" s="41" t="n"/>
      <c r="C250" s="42" t="n"/>
      <c r="D250" s="43" t="n"/>
      <c r="E250" s="41" t="n"/>
      <c r="F250" s="42" t="n"/>
      <c r="G250" s="44" t="n"/>
      <c r="H250" s="41" t="n"/>
      <c r="I250" s="42" t="n"/>
      <c r="J250" s="44" t="n"/>
      <c r="K250" s="45" t="n"/>
      <c r="L250" s="46" t="n"/>
      <c r="M250" s="164" t="n"/>
      <c r="N250" s="164" t="n"/>
      <c r="O250" s="164" t="n"/>
      <c r="P250" s="48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77">
      <c r="A251" s="37" t="n">
        <v>46534</v>
      </c>
      <c r="B251" s="41" t="n"/>
      <c r="C251" s="49" t="n"/>
      <c r="D251" s="50" t="n"/>
      <c r="E251" s="41" t="n"/>
      <c r="F251" s="49" t="n"/>
      <c r="G251" s="44" t="n"/>
      <c r="H251" s="41" t="n"/>
      <c r="I251" s="49" t="n"/>
      <c r="J251" s="44" t="n"/>
      <c r="K251" s="45" t="n"/>
      <c r="L251" s="46" t="n"/>
      <c r="M251" s="164" t="n"/>
      <c r="N251" s="164" t="n"/>
      <c r="O251" s="164" t="n"/>
      <c r="P251" s="48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77">
      <c r="A252" s="37" t="n">
        <v>46535</v>
      </c>
      <c r="B252" s="51" t="n"/>
      <c r="C252" s="52" t="n"/>
      <c r="D252" s="48" t="n"/>
      <c r="E252" s="51" t="n"/>
      <c r="F252" s="52" t="n"/>
      <c r="G252" s="48" t="n"/>
      <c r="H252" s="51" t="n"/>
      <c r="I252" s="52" t="n"/>
      <c r="J252" s="48" t="n"/>
      <c r="K252" s="53" t="n"/>
      <c r="L252" s="54" t="n"/>
      <c r="M252" s="164" t="n"/>
      <c r="N252" s="164" t="n"/>
      <c r="O252" s="164" t="n"/>
      <c r="P252" s="48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77">
      <c r="A253" s="55" t="n"/>
      <c r="B253" s="57" t="n"/>
      <c r="C253" s="57" t="n"/>
      <c r="D253" s="55" t="n"/>
      <c r="E253" s="57" t="n"/>
      <c r="F253" s="57" t="n"/>
      <c r="G253" s="55" t="n"/>
      <c r="H253" s="57" t="n"/>
      <c r="I253" s="57" t="n"/>
      <c r="J253" s="55" t="n"/>
      <c r="K253" s="55" t="n"/>
      <c r="L253" s="54" t="n"/>
      <c r="M253" s="164" t="n"/>
      <c r="N253" s="164" t="n"/>
      <c r="O253" s="164" t="n"/>
      <c r="P253" s="48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77">
      <c r="A254" s="59" t="n"/>
      <c r="B254" s="61" t="n"/>
      <c r="C254" s="61" t="n"/>
      <c r="D254" s="62" t="n"/>
      <c r="E254" s="61" t="n"/>
      <c r="F254" s="61" t="n"/>
      <c r="G254" s="62" t="n"/>
      <c r="H254" s="61" t="n"/>
      <c r="I254" s="61" t="n"/>
      <c r="J254" s="62" t="n"/>
      <c r="K254" s="62" t="n"/>
      <c r="L254" s="65" t="n"/>
      <c r="M254" s="66" t="n"/>
      <c r="N254" s="66" t="n"/>
      <c r="O254" s="66" t="n"/>
      <c r="P254" s="70">
        <f>SUMPRODUCT(VALUE(K248:K252))-(SUM(L248:L252))</f>
        <v/>
      </c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77">
      <c r="A255" s="37" t="n">
        <v>46538</v>
      </c>
      <c r="B255" s="26" t="n"/>
      <c r="C255" s="28" t="n"/>
      <c r="D255" s="29" t="n"/>
      <c r="E255" s="26" t="n"/>
      <c r="F255" s="28" t="n"/>
      <c r="G255" s="31" t="n"/>
      <c r="H255" s="26" t="n"/>
      <c r="I255" s="28" t="n"/>
      <c r="J255" s="31" t="n"/>
      <c r="K255" s="38" t="n"/>
      <c r="L255" s="39" t="n"/>
      <c r="M255" s="34" t="n"/>
      <c r="N255" s="34" t="n"/>
      <c r="O255" s="34" t="n"/>
      <c r="P255" s="72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77">
      <c r="A256" s="37" t="n">
        <v>46539</v>
      </c>
      <c r="B256" s="41" t="n"/>
      <c r="C256" s="42" t="n"/>
      <c r="D256" s="43" t="n"/>
      <c r="E256" s="41" t="n"/>
      <c r="F256" s="42" t="n"/>
      <c r="G256" s="44" t="n"/>
      <c r="H256" s="41" t="n"/>
      <c r="I256" s="42" t="n"/>
      <c r="J256" s="44" t="n"/>
      <c r="K256" s="45" t="n"/>
      <c r="L256" s="46" t="n"/>
      <c r="M256" s="164" t="n"/>
      <c r="N256" s="164" t="n"/>
      <c r="O256" s="164" t="n"/>
      <c r="P256" s="48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77">
      <c r="A257" s="37" t="n">
        <v>46540</v>
      </c>
      <c r="B257" s="41" t="n"/>
      <c r="C257" s="42" t="n"/>
      <c r="D257" s="43" t="n"/>
      <c r="E257" s="41" t="n"/>
      <c r="F257" s="42" t="n"/>
      <c r="G257" s="44" t="n"/>
      <c r="H257" s="41" t="n"/>
      <c r="I257" s="42" t="n"/>
      <c r="J257" s="44" t="n"/>
      <c r="K257" s="45" t="n"/>
      <c r="L257" s="46" t="n"/>
      <c r="M257" s="164" t="n"/>
      <c r="N257" s="164" t="n"/>
      <c r="O257" s="164" t="n"/>
      <c r="P257" s="48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77">
      <c r="A258" s="37" t="n">
        <v>46541</v>
      </c>
      <c r="B258" s="41" t="n"/>
      <c r="C258" s="49" t="n"/>
      <c r="D258" s="50" t="n"/>
      <c r="E258" s="41" t="n"/>
      <c r="F258" s="49" t="n"/>
      <c r="G258" s="44" t="n"/>
      <c r="H258" s="41" t="n"/>
      <c r="I258" s="49" t="n"/>
      <c r="J258" s="44" t="n"/>
      <c r="K258" s="45" t="n"/>
      <c r="L258" s="46" t="n"/>
      <c r="M258" s="164" t="n"/>
      <c r="N258" s="164" t="n"/>
      <c r="O258" s="164" t="n"/>
      <c r="P258" s="48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77">
      <c r="A259" s="37" t="n">
        <v>46542</v>
      </c>
      <c r="B259" s="51" t="n"/>
      <c r="C259" s="52" t="n"/>
      <c r="D259" s="48" t="n"/>
      <c r="E259" s="51" t="n"/>
      <c r="F259" s="52" t="n"/>
      <c r="G259" s="48" t="n"/>
      <c r="H259" s="51" t="n"/>
      <c r="I259" s="52" t="n"/>
      <c r="J259" s="48" t="n"/>
      <c r="K259" s="53" t="n"/>
      <c r="L259" s="54" t="n"/>
      <c r="M259" s="164" t="n"/>
      <c r="N259" s="164" t="n"/>
      <c r="O259" s="164" t="n"/>
      <c r="P259" s="48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77">
      <c r="A260" s="55" t="n"/>
      <c r="B260" s="57" t="n"/>
      <c r="C260" s="57" t="n"/>
      <c r="D260" s="55" t="n"/>
      <c r="E260" s="57" t="n"/>
      <c r="F260" s="57" t="n"/>
      <c r="G260" s="55" t="n"/>
      <c r="H260" s="57" t="n"/>
      <c r="I260" s="57" t="n"/>
      <c r="J260" s="55" t="n"/>
      <c r="K260" s="55" t="n"/>
      <c r="L260" s="54" t="n"/>
      <c r="M260" s="164" t="n"/>
      <c r="N260" s="164" t="n"/>
      <c r="O260" s="164" t="n"/>
      <c r="P260" s="48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77">
      <c r="A261" s="59" t="n"/>
      <c r="B261" s="61" t="n"/>
      <c r="C261" s="61" t="n"/>
      <c r="D261" s="62" t="n"/>
      <c r="E261" s="61" t="n"/>
      <c r="F261" s="61" t="n"/>
      <c r="G261" s="62" t="n"/>
      <c r="H261" s="61" t="n"/>
      <c r="I261" s="61" t="n"/>
      <c r="J261" s="62" t="n"/>
      <c r="K261" s="62" t="n"/>
      <c r="L261" s="65" t="n"/>
      <c r="M261" s="66" t="n"/>
      <c r="N261" s="66" t="n"/>
      <c r="O261" s="66" t="n"/>
      <c r="P261" s="70">
        <f>SUMPRODUCT(VALUE(K255:K259))-(SUM(L255:L259))</f>
        <v/>
      </c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77">
      <c r="A262" s="37" t="n">
        <v>46545</v>
      </c>
      <c r="B262" s="26" t="n"/>
      <c r="C262" s="28" t="n"/>
      <c r="D262" s="29" t="n"/>
      <c r="E262" s="26" t="n"/>
      <c r="F262" s="28" t="n"/>
      <c r="G262" s="31" t="n"/>
      <c r="H262" s="26" t="n"/>
      <c r="I262" s="28" t="n"/>
      <c r="J262" s="31" t="n"/>
      <c r="K262" s="38" t="n"/>
      <c r="L262" s="39" t="n"/>
      <c r="M262" s="34" t="n"/>
      <c r="N262" s="34" t="n"/>
      <c r="O262" s="34" t="n"/>
      <c r="P262" s="72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77">
      <c r="A263" s="37" t="n">
        <v>46546</v>
      </c>
      <c r="B263" s="41" t="n"/>
      <c r="C263" s="42" t="n"/>
      <c r="D263" s="43" t="n"/>
      <c r="E263" s="41" t="n"/>
      <c r="F263" s="42" t="n"/>
      <c r="G263" s="44" t="n"/>
      <c r="H263" s="41" t="n"/>
      <c r="I263" s="42" t="n"/>
      <c r="J263" s="44" t="n"/>
      <c r="K263" s="45" t="n"/>
      <c r="L263" s="46" t="n"/>
      <c r="M263" s="164" t="n"/>
      <c r="N263" s="164" t="n"/>
      <c r="O263" s="164" t="n"/>
      <c r="P263" s="48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77">
      <c r="A264" s="37" t="n">
        <v>46547</v>
      </c>
      <c r="B264" s="41" t="n"/>
      <c r="C264" s="42" t="n"/>
      <c r="D264" s="43" t="n"/>
      <c r="E264" s="41" t="n"/>
      <c r="F264" s="42" t="n"/>
      <c r="G264" s="44" t="n"/>
      <c r="H264" s="41" t="n"/>
      <c r="I264" s="42" t="n"/>
      <c r="J264" s="44" t="n"/>
      <c r="K264" s="45" t="n"/>
      <c r="L264" s="46" t="n"/>
      <c r="M264" s="164" t="n"/>
      <c r="N264" s="164" t="n"/>
      <c r="O264" s="164" t="n"/>
      <c r="P264" s="48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77">
      <c r="A265" s="37" t="n">
        <v>46548</v>
      </c>
      <c r="B265" s="41" t="n"/>
      <c r="C265" s="49" t="n"/>
      <c r="D265" s="50" t="n"/>
      <c r="E265" s="41" t="n"/>
      <c r="F265" s="49" t="n"/>
      <c r="G265" s="44" t="n"/>
      <c r="H265" s="41" t="n"/>
      <c r="I265" s="49" t="n"/>
      <c r="J265" s="44" t="n"/>
      <c r="K265" s="45" t="n"/>
      <c r="L265" s="46" t="n"/>
      <c r="M265" s="164" t="n"/>
      <c r="N265" s="164" t="n"/>
      <c r="O265" s="164" t="n"/>
      <c r="P265" s="48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77">
      <c r="A266" s="37" t="n">
        <v>46549</v>
      </c>
      <c r="B266" s="51" t="n"/>
      <c r="C266" s="52" t="n"/>
      <c r="D266" s="48" t="n"/>
      <c r="E266" s="51" t="n"/>
      <c r="F266" s="52" t="n"/>
      <c r="G266" s="48" t="n"/>
      <c r="H266" s="51" t="n"/>
      <c r="I266" s="52" t="n"/>
      <c r="J266" s="48" t="n"/>
      <c r="K266" s="53" t="n"/>
      <c r="L266" s="54" t="n"/>
      <c r="M266" s="164" t="n"/>
      <c r="N266" s="164" t="n"/>
      <c r="O266" s="164" t="n"/>
      <c r="P266" s="48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77">
      <c r="A267" s="55" t="n"/>
      <c r="B267" s="57" t="n"/>
      <c r="C267" s="57" t="n"/>
      <c r="D267" s="55" t="n"/>
      <c r="E267" s="57" t="n"/>
      <c r="F267" s="57" t="n"/>
      <c r="G267" s="55" t="n"/>
      <c r="H267" s="57" t="n"/>
      <c r="I267" s="57" t="n"/>
      <c r="J267" s="55" t="n"/>
      <c r="K267" s="55" t="n"/>
      <c r="L267" s="54" t="n"/>
      <c r="M267" s="164" t="n"/>
      <c r="N267" s="164" t="n"/>
      <c r="O267" s="164" t="n"/>
      <c r="P267" s="48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77">
      <c r="A268" s="59" t="n"/>
      <c r="B268" s="61" t="n"/>
      <c r="C268" s="61" t="n"/>
      <c r="D268" s="62" t="n"/>
      <c r="E268" s="61" t="n"/>
      <c r="F268" s="61" t="n"/>
      <c r="G268" s="62" t="n"/>
      <c r="H268" s="61" t="n"/>
      <c r="I268" s="61" t="n"/>
      <c r="J268" s="62" t="n"/>
      <c r="K268" s="62" t="n"/>
      <c r="L268" s="65" t="n"/>
      <c r="M268" s="66" t="n"/>
      <c r="N268" s="66" t="n"/>
      <c r="O268" s="66" t="n"/>
      <c r="P268" s="70">
        <f>SUMPRODUCT(VALUE(K262:K266))-(SUM(L262:L266))</f>
        <v/>
      </c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77">
      <c r="A269" s="37" t="n">
        <v>46552</v>
      </c>
      <c r="B269" s="26" t="n"/>
      <c r="C269" s="28" t="n"/>
      <c r="D269" s="29" t="n"/>
      <c r="E269" s="26" t="n"/>
      <c r="F269" s="28" t="n"/>
      <c r="G269" s="31" t="n"/>
      <c r="H269" s="26" t="n"/>
      <c r="I269" s="28" t="n"/>
      <c r="J269" s="31" t="n"/>
      <c r="K269" s="38" t="n"/>
      <c r="L269" s="39" t="n"/>
      <c r="M269" s="34" t="n"/>
      <c r="N269" s="34" t="n"/>
      <c r="O269" s="34" t="n"/>
      <c r="P269" s="72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77">
      <c r="A270" s="37" t="n">
        <v>46553</v>
      </c>
      <c r="B270" s="41" t="n"/>
      <c r="C270" s="42" t="n"/>
      <c r="D270" s="43" t="n"/>
      <c r="E270" s="41" t="n"/>
      <c r="F270" s="42" t="n"/>
      <c r="G270" s="44" t="n"/>
      <c r="H270" s="41" t="n"/>
      <c r="I270" s="42" t="n"/>
      <c r="J270" s="44" t="n"/>
      <c r="K270" s="45" t="n"/>
      <c r="L270" s="46" t="n"/>
      <c r="M270" s="164" t="n"/>
      <c r="N270" s="164" t="n"/>
      <c r="O270" s="164" t="n"/>
      <c r="P270" s="48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77">
      <c r="A271" s="37" t="n">
        <v>46554</v>
      </c>
      <c r="B271" s="41" t="n"/>
      <c r="C271" s="42" t="n"/>
      <c r="D271" s="43" t="n"/>
      <c r="E271" s="41" t="n"/>
      <c r="F271" s="42" t="n"/>
      <c r="G271" s="44" t="n"/>
      <c r="H271" s="41" t="n"/>
      <c r="I271" s="42" t="n"/>
      <c r="J271" s="44" t="n"/>
      <c r="K271" s="45" t="n"/>
      <c r="L271" s="46" t="n"/>
      <c r="M271" s="164" t="n"/>
      <c r="N271" s="164" t="n"/>
      <c r="O271" s="164" t="n"/>
      <c r="P271" s="48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77">
      <c r="A272" s="37" t="n">
        <v>46555</v>
      </c>
      <c r="B272" s="41" t="n"/>
      <c r="C272" s="49" t="n"/>
      <c r="D272" s="50" t="n"/>
      <c r="E272" s="41" t="n"/>
      <c r="F272" s="49" t="n"/>
      <c r="G272" s="44" t="n"/>
      <c r="H272" s="41" t="n"/>
      <c r="I272" s="49" t="n"/>
      <c r="J272" s="44" t="n"/>
      <c r="K272" s="45" t="n"/>
      <c r="L272" s="46" t="n"/>
      <c r="M272" s="164" t="n"/>
      <c r="N272" s="164" t="n"/>
      <c r="O272" s="164" t="n"/>
      <c r="P272" s="48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77">
      <c r="A273" s="37" t="n">
        <v>46556</v>
      </c>
      <c r="B273" s="51" t="n"/>
      <c r="C273" s="52" t="n"/>
      <c r="D273" s="48" t="n"/>
      <c r="E273" s="51" t="n"/>
      <c r="F273" s="52" t="n"/>
      <c r="G273" s="48" t="n"/>
      <c r="H273" s="51" t="n"/>
      <c r="I273" s="52" t="n"/>
      <c r="J273" s="48" t="n"/>
      <c r="K273" s="53" t="n"/>
      <c r="L273" s="54" t="n"/>
      <c r="M273" s="164" t="n"/>
      <c r="N273" s="164" t="n"/>
      <c r="O273" s="164" t="n"/>
      <c r="P273" s="48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77">
      <c r="A274" s="55" t="n"/>
      <c r="B274" s="57" t="n"/>
      <c r="C274" s="57" t="n"/>
      <c r="D274" s="55" t="n"/>
      <c r="E274" s="57" t="n"/>
      <c r="F274" s="57" t="n"/>
      <c r="G274" s="55" t="n"/>
      <c r="H274" s="57" t="n"/>
      <c r="I274" s="57" t="n"/>
      <c r="J274" s="55" t="n"/>
      <c r="K274" s="55" t="n"/>
      <c r="L274" s="54" t="n"/>
      <c r="M274" s="164" t="n"/>
      <c r="N274" s="164" t="n"/>
      <c r="O274" s="164" t="n"/>
      <c r="P274" s="48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77">
      <c r="A275" s="59" t="n"/>
      <c r="B275" s="61" t="n"/>
      <c r="C275" s="61" t="n"/>
      <c r="D275" s="62" t="n"/>
      <c r="E275" s="61" t="n"/>
      <c r="F275" s="61" t="n"/>
      <c r="G275" s="62" t="n"/>
      <c r="H275" s="61" t="n"/>
      <c r="I275" s="61" t="n"/>
      <c r="J275" s="62" t="n"/>
      <c r="K275" s="62" t="n"/>
      <c r="L275" s="65" t="n"/>
      <c r="M275" s="66" t="n"/>
      <c r="N275" s="66" t="n"/>
      <c r="O275" s="66" t="n"/>
      <c r="P275" s="70">
        <f>SUMPRODUCT(VALUE(K269:K273))-(SUM(L269:L273))</f>
        <v/>
      </c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77">
      <c r="A276" s="37" t="n">
        <v>46559</v>
      </c>
      <c r="B276" s="26" t="n"/>
      <c r="C276" s="28" t="n"/>
      <c r="D276" s="29" t="n"/>
      <c r="E276" s="26" t="n"/>
      <c r="F276" s="28" t="n"/>
      <c r="G276" s="31" t="n"/>
      <c r="H276" s="26" t="n"/>
      <c r="I276" s="28" t="n"/>
      <c r="J276" s="31" t="n"/>
      <c r="K276" s="38" t="n"/>
      <c r="L276" s="39" t="n"/>
      <c r="M276" s="34" t="n"/>
      <c r="N276" s="34" t="n"/>
      <c r="O276" s="34" t="n"/>
      <c r="P276" s="72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77">
      <c r="A277" s="37" t="n">
        <v>46560</v>
      </c>
      <c r="B277" s="41" t="n"/>
      <c r="C277" s="42" t="n"/>
      <c r="D277" s="43" t="n"/>
      <c r="E277" s="41" t="n"/>
      <c r="F277" s="42" t="n"/>
      <c r="G277" s="44" t="n"/>
      <c r="H277" s="41" t="n"/>
      <c r="I277" s="42" t="n"/>
      <c r="J277" s="44" t="n"/>
      <c r="K277" s="45" t="n"/>
      <c r="L277" s="46" t="n"/>
      <c r="M277" s="164" t="n"/>
      <c r="N277" s="164" t="n"/>
      <c r="O277" s="164" t="n"/>
      <c r="P277" s="48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77">
      <c r="A278" s="37" t="n">
        <v>46561</v>
      </c>
      <c r="B278" s="41" t="n"/>
      <c r="C278" s="42" t="n"/>
      <c r="D278" s="43" t="n"/>
      <c r="E278" s="41" t="n"/>
      <c r="F278" s="42" t="n"/>
      <c r="G278" s="44" t="n"/>
      <c r="H278" s="41" t="n"/>
      <c r="I278" s="42" t="n"/>
      <c r="J278" s="44" t="n"/>
      <c r="K278" s="45" t="n"/>
      <c r="L278" s="46" t="n"/>
      <c r="M278" s="164" t="n"/>
      <c r="N278" s="164" t="n"/>
      <c r="O278" s="164" t="n"/>
      <c r="P278" s="48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77">
      <c r="A279" s="37" t="n">
        <v>46562</v>
      </c>
      <c r="B279" s="41" t="n"/>
      <c r="C279" s="49" t="n"/>
      <c r="D279" s="50" t="n"/>
      <c r="E279" s="41" t="n"/>
      <c r="F279" s="49" t="n"/>
      <c r="G279" s="44" t="n"/>
      <c r="H279" s="41" t="n"/>
      <c r="I279" s="49" t="n"/>
      <c r="J279" s="44" t="n"/>
      <c r="K279" s="45" t="n"/>
      <c r="L279" s="46" t="n"/>
      <c r="M279" s="164" t="n"/>
      <c r="N279" s="164" t="n"/>
      <c r="O279" s="164" t="n"/>
      <c r="P279" s="48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77">
      <c r="A280" s="37" t="n">
        <v>46563</v>
      </c>
      <c r="B280" s="51" t="n"/>
      <c r="C280" s="52" t="n"/>
      <c r="D280" s="48" t="n"/>
      <c r="E280" s="51" t="n"/>
      <c r="F280" s="52" t="n"/>
      <c r="G280" s="48" t="n"/>
      <c r="H280" s="51" t="n"/>
      <c r="I280" s="52" t="n"/>
      <c r="J280" s="48" t="n"/>
      <c r="K280" s="53" t="n"/>
      <c r="L280" s="54" t="n"/>
      <c r="M280" s="164" t="n"/>
      <c r="N280" s="164" t="n"/>
      <c r="O280" s="164" t="n"/>
      <c r="P280" s="48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77">
      <c r="A281" s="55" t="n"/>
      <c r="B281" s="57" t="n"/>
      <c r="C281" s="57" t="n"/>
      <c r="D281" s="55" t="n"/>
      <c r="E281" s="57" t="n"/>
      <c r="F281" s="57" t="n"/>
      <c r="G281" s="55" t="n"/>
      <c r="H281" s="57" t="n"/>
      <c r="I281" s="57" t="n"/>
      <c r="J281" s="55" t="n"/>
      <c r="K281" s="55" t="n"/>
      <c r="L281" s="54" t="n"/>
      <c r="M281" s="164" t="n"/>
      <c r="N281" s="164" t="n"/>
      <c r="O281" s="164" t="n"/>
      <c r="P281" s="48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77">
      <c r="A282" s="59" t="n"/>
      <c r="B282" s="61" t="n"/>
      <c r="C282" s="61" t="n"/>
      <c r="D282" s="62" t="n"/>
      <c r="E282" s="61" t="n"/>
      <c r="F282" s="61" t="n"/>
      <c r="G282" s="62" t="n"/>
      <c r="H282" s="61" t="n"/>
      <c r="I282" s="61" t="n"/>
      <c r="J282" s="62" t="n"/>
      <c r="K282" s="62" t="n"/>
      <c r="L282" s="65" t="n"/>
      <c r="M282" s="66" t="n"/>
      <c r="N282" s="66" t="n"/>
      <c r="O282" s="66" t="n"/>
      <c r="P282" s="70">
        <f>SUMPRODUCT(VALUE(K276:K280))-(SUM(L276:L280))</f>
        <v/>
      </c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77">
      <c r="A283" s="37" t="n">
        <v>46566</v>
      </c>
      <c r="B283" s="26" t="n"/>
      <c r="C283" s="28" t="n"/>
      <c r="D283" s="29" t="n"/>
      <c r="E283" s="26" t="n"/>
      <c r="F283" s="28" t="n"/>
      <c r="G283" s="31" t="n"/>
      <c r="H283" s="26" t="n"/>
      <c r="I283" s="28" t="n"/>
      <c r="J283" s="31" t="n"/>
      <c r="K283" s="38" t="n"/>
      <c r="L283" s="39" t="n"/>
      <c r="M283" s="34" t="n"/>
      <c r="N283" s="34" t="n"/>
      <c r="O283" s="34" t="n"/>
      <c r="P283" s="72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77">
      <c r="A284" s="37" t="n">
        <v>46567</v>
      </c>
      <c r="B284" s="41" t="n"/>
      <c r="C284" s="42" t="n"/>
      <c r="D284" s="43" t="n"/>
      <c r="E284" s="41" t="n"/>
      <c r="F284" s="42" t="n"/>
      <c r="G284" s="44" t="n"/>
      <c r="H284" s="41" t="n"/>
      <c r="I284" s="42" t="n"/>
      <c r="J284" s="44" t="n"/>
      <c r="K284" s="45" t="n"/>
      <c r="L284" s="46" t="n"/>
      <c r="M284" s="164" t="n"/>
      <c r="N284" s="164" t="n"/>
      <c r="O284" s="164" t="n"/>
      <c r="P284" s="48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77">
      <c r="A285" s="37" t="n">
        <v>46568</v>
      </c>
      <c r="B285" s="41" t="n"/>
      <c r="C285" s="42" t="n"/>
      <c r="D285" s="43" t="n"/>
      <c r="E285" s="41" t="n"/>
      <c r="F285" s="42" t="n"/>
      <c r="G285" s="44" t="n"/>
      <c r="H285" s="41" t="n"/>
      <c r="I285" s="42" t="n"/>
      <c r="J285" s="44" t="n"/>
      <c r="K285" s="45" t="n"/>
      <c r="L285" s="46" t="n"/>
      <c r="M285" s="164" t="n"/>
      <c r="N285" s="164" t="n"/>
      <c r="O285" s="164" t="n"/>
      <c r="P285" s="48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77">
      <c r="A286" s="37" t="n">
        <v>46569</v>
      </c>
      <c r="B286" s="41" t="n"/>
      <c r="C286" s="49" t="n"/>
      <c r="D286" s="50" t="n"/>
      <c r="E286" s="41" t="n"/>
      <c r="F286" s="49" t="n"/>
      <c r="G286" s="44" t="n"/>
      <c r="H286" s="41" t="n"/>
      <c r="I286" s="49" t="n"/>
      <c r="J286" s="44" t="n"/>
      <c r="K286" s="45" t="n"/>
      <c r="L286" s="46" t="n"/>
      <c r="M286" s="164" t="n"/>
      <c r="N286" s="164" t="n"/>
      <c r="O286" s="164" t="n"/>
      <c r="P286" s="48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77">
      <c r="A287" s="37" t="n">
        <v>46570</v>
      </c>
      <c r="B287" s="51" t="n"/>
      <c r="C287" s="52" t="n"/>
      <c r="D287" s="48" t="n"/>
      <c r="E287" s="51" t="n"/>
      <c r="F287" s="52" t="n"/>
      <c r="G287" s="48" t="n"/>
      <c r="H287" s="51" t="n"/>
      <c r="I287" s="52" t="n"/>
      <c r="J287" s="48" t="n"/>
      <c r="K287" s="53" t="n"/>
      <c r="L287" s="54" t="n"/>
      <c r="M287" s="164" t="n"/>
      <c r="N287" s="164" t="n"/>
      <c r="O287" s="164" t="n"/>
      <c r="P287" s="48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77">
      <c r="A288" s="55" t="n"/>
      <c r="B288" s="57" t="n"/>
      <c r="C288" s="57" t="n"/>
      <c r="D288" s="55" t="n"/>
      <c r="E288" s="57" t="n"/>
      <c r="F288" s="57" t="n"/>
      <c r="G288" s="55" t="n"/>
      <c r="H288" s="57" t="n"/>
      <c r="I288" s="57" t="n"/>
      <c r="J288" s="55" t="n"/>
      <c r="K288" s="55" t="n"/>
      <c r="L288" s="54" t="n"/>
      <c r="M288" s="164" t="n"/>
      <c r="N288" s="164" t="n"/>
      <c r="O288" s="164" t="n"/>
      <c r="P288" s="48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77">
      <c r="A289" s="59" t="n"/>
      <c r="B289" s="61" t="n"/>
      <c r="C289" s="61" t="n"/>
      <c r="D289" s="62" t="n"/>
      <c r="E289" s="61" t="n"/>
      <c r="F289" s="61" t="n"/>
      <c r="G289" s="62" t="n"/>
      <c r="H289" s="61" t="n"/>
      <c r="I289" s="61" t="n"/>
      <c r="J289" s="62" t="n"/>
      <c r="K289" s="62" t="n"/>
      <c r="L289" s="65" t="n"/>
      <c r="M289" s="66" t="n"/>
      <c r="N289" s="66" t="n"/>
      <c r="O289" s="66" t="n"/>
      <c r="P289" s="70">
        <f>SUMPRODUCT(VALUE(K283:K287))-(SUM(L283:L287))</f>
        <v/>
      </c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77">
      <c r="A290" s="37" t="n">
        <v>46573</v>
      </c>
      <c r="B290" s="26" t="n"/>
      <c r="C290" s="28" t="n"/>
      <c r="D290" s="29" t="n"/>
      <c r="E290" s="26" t="n"/>
      <c r="F290" s="28" t="n"/>
      <c r="G290" s="31" t="n"/>
      <c r="H290" s="26" t="n"/>
      <c r="I290" s="28" t="n"/>
      <c r="J290" s="31" t="n"/>
      <c r="K290" s="38" t="n"/>
      <c r="L290" s="39" t="n"/>
      <c r="M290" s="34" t="n"/>
      <c r="N290" s="34" t="n"/>
      <c r="O290" s="34" t="n"/>
      <c r="P290" s="72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77">
      <c r="A291" s="37" t="n">
        <v>46574</v>
      </c>
      <c r="B291" s="41" t="n"/>
      <c r="C291" s="42" t="n"/>
      <c r="D291" s="43" t="n"/>
      <c r="E291" s="41" t="n"/>
      <c r="F291" s="42" t="n"/>
      <c r="G291" s="44" t="n"/>
      <c r="H291" s="41" t="n"/>
      <c r="I291" s="42" t="n"/>
      <c r="J291" s="44" t="n"/>
      <c r="K291" s="45" t="n"/>
      <c r="L291" s="46" t="n"/>
      <c r="M291" s="164" t="n"/>
      <c r="N291" s="164" t="n"/>
      <c r="O291" s="164" t="n"/>
      <c r="P291" s="48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77">
      <c r="A292" s="37" t="n">
        <v>46575</v>
      </c>
      <c r="B292" s="41" t="n"/>
      <c r="C292" s="42" t="n"/>
      <c r="D292" s="43" t="n"/>
      <c r="E292" s="41" t="n"/>
      <c r="F292" s="42" t="n"/>
      <c r="G292" s="44" t="n"/>
      <c r="H292" s="41" t="n"/>
      <c r="I292" s="42" t="n"/>
      <c r="J292" s="44" t="n"/>
      <c r="K292" s="45" t="n"/>
      <c r="L292" s="46" t="n"/>
      <c r="M292" s="164" t="n"/>
      <c r="N292" s="164" t="n"/>
      <c r="O292" s="164" t="n"/>
      <c r="P292" s="48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77">
      <c r="A293" s="37" t="n">
        <v>46576</v>
      </c>
      <c r="B293" s="41" t="n"/>
      <c r="C293" s="49" t="n"/>
      <c r="D293" s="50" t="n"/>
      <c r="E293" s="41" t="n"/>
      <c r="F293" s="49" t="n"/>
      <c r="G293" s="44" t="n"/>
      <c r="H293" s="41" t="n"/>
      <c r="I293" s="49" t="n"/>
      <c r="J293" s="44" t="n"/>
      <c r="K293" s="45" t="n"/>
      <c r="L293" s="46" t="n"/>
      <c r="M293" s="164" t="n"/>
      <c r="N293" s="164" t="n"/>
      <c r="O293" s="164" t="n"/>
      <c r="P293" s="48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77">
      <c r="A294" s="37" t="n">
        <v>46577</v>
      </c>
      <c r="B294" s="51" t="n"/>
      <c r="C294" s="52" t="n"/>
      <c r="D294" s="48" t="n"/>
      <c r="E294" s="51" t="n"/>
      <c r="F294" s="52" t="n"/>
      <c r="G294" s="48" t="n"/>
      <c r="H294" s="51" t="n"/>
      <c r="I294" s="52" t="n"/>
      <c r="J294" s="48" t="n"/>
      <c r="K294" s="53" t="n"/>
      <c r="L294" s="54" t="n"/>
      <c r="M294" s="164" t="n"/>
      <c r="N294" s="164" t="n"/>
      <c r="O294" s="164" t="n"/>
      <c r="P294" s="48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77">
      <c r="A295" s="55" t="n"/>
      <c r="B295" s="57" t="n"/>
      <c r="C295" s="57" t="n"/>
      <c r="D295" s="55" t="n"/>
      <c r="E295" s="57" t="n"/>
      <c r="F295" s="57" t="n"/>
      <c r="G295" s="55" t="n"/>
      <c r="H295" s="57" t="n"/>
      <c r="I295" s="57" t="n"/>
      <c r="J295" s="55" t="n"/>
      <c r="K295" s="55" t="n"/>
      <c r="L295" s="54" t="n"/>
      <c r="M295" s="164" t="n"/>
      <c r="N295" s="164" t="n"/>
      <c r="O295" s="164" t="n"/>
      <c r="P295" s="48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77">
      <c r="A296" s="59" t="n"/>
      <c r="B296" s="61" t="n"/>
      <c r="C296" s="61" t="n"/>
      <c r="D296" s="62" t="n"/>
      <c r="E296" s="61" t="n"/>
      <c r="F296" s="61" t="n"/>
      <c r="G296" s="62" t="n"/>
      <c r="H296" s="61" t="n"/>
      <c r="I296" s="61" t="n"/>
      <c r="J296" s="62" t="n"/>
      <c r="K296" s="62" t="n"/>
      <c r="L296" s="65" t="n"/>
      <c r="M296" s="66" t="n"/>
      <c r="N296" s="66" t="n"/>
      <c r="O296" s="66" t="n"/>
      <c r="P296" s="70">
        <f>SUMPRODUCT(VALUE(K290:K294))-(SUM(L290:L294))</f>
        <v/>
      </c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77">
      <c r="A297" s="37" t="n">
        <v>46580</v>
      </c>
      <c r="B297" s="26" t="n"/>
      <c r="C297" s="28" t="n"/>
      <c r="D297" s="29" t="n"/>
      <c r="E297" s="26" t="n"/>
      <c r="F297" s="28" t="n"/>
      <c r="G297" s="31" t="n"/>
      <c r="H297" s="26" t="n"/>
      <c r="I297" s="28" t="n"/>
      <c r="J297" s="31" t="n"/>
      <c r="K297" s="38" t="n"/>
      <c r="L297" s="39" t="n"/>
      <c r="M297" s="34" t="n"/>
      <c r="N297" s="34" t="n"/>
      <c r="O297" s="34" t="n"/>
      <c r="P297" s="72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77">
      <c r="A298" s="37" t="n">
        <v>46581</v>
      </c>
      <c r="B298" s="41" t="n"/>
      <c r="C298" s="42" t="n"/>
      <c r="D298" s="43" t="n"/>
      <c r="E298" s="41" t="n"/>
      <c r="F298" s="42" t="n"/>
      <c r="G298" s="44" t="n"/>
      <c r="H298" s="41" t="n"/>
      <c r="I298" s="42" t="n"/>
      <c r="J298" s="44" t="n"/>
      <c r="K298" s="45" t="n"/>
      <c r="L298" s="46" t="n"/>
      <c r="M298" s="164" t="n"/>
      <c r="N298" s="164" t="n"/>
      <c r="O298" s="164" t="n"/>
      <c r="P298" s="48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77">
      <c r="A299" s="37" t="n">
        <v>46582</v>
      </c>
      <c r="B299" s="41" t="n"/>
      <c r="C299" s="42" t="n"/>
      <c r="D299" s="43" t="n"/>
      <c r="E299" s="41" t="n"/>
      <c r="F299" s="42" t="n"/>
      <c r="G299" s="44" t="n"/>
      <c r="H299" s="41" t="n"/>
      <c r="I299" s="42" t="n"/>
      <c r="J299" s="44" t="n"/>
      <c r="K299" s="45" t="n"/>
      <c r="L299" s="46" t="n"/>
      <c r="M299" s="164" t="n"/>
      <c r="N299" s="164" t="n"/>
      <c r="O299" s="164" t="n"/>
      <c r="P299" s="48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77">
      <c r="A300" s="37" t="n">
        <v>46583</v>
      </c>
      <c r="B300" s="41" t="n"/>
      <c r="C300" s="49" t="n"/>
      <c r="D300" s="50" t="n"/>
      <c r="E300" s="41" t="n"/>
      <c r="F300" s="49" t="n"/>
      <c r="G300" s="44" t="n"/>
      <c r="H300" s="41" t="n"/>
      <c r="I300" s="49" t="n"/>
      <c r="J300" s="44" t="n"/>
      <c r="K300" s="45" t="n"/>
      <c r="L300" s="46" t="n"/>
      <c r="M300" s="164" t="n"/>
      <c r="N300" s="164" t="n"/>
      <c r="O300" s="164" t="n"/>
      <c r="P300" s="48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77">
      <c r="A301" s="37" t="n">
        <v>46584</v>
      </c>
      <c r="B301" s="51" t="n"/>
      <c r="C301" s="52" t="n"/>
      <c r="D301" s="48" t="n"/>
      <c r="E301" s="51" t="n"/>
      <c r="F301" s="52" t="n"/>
      <c r="G301" s="48" t="n"/>
      <c r="H301" s="51" t="n"/>
      <c r="I301" s="52" t="n"/>
      <c r="J301" s="48" t="n"/>
      <c r="K301" s="53" t="n"/>
      <c r="L301" s="54" t="n"/>
      <c r="M301" s="164" t="n"/>
      <c r="N301" s="164" t="n"/>
      <c r="O301" s="164" t="n"/>
      <c r="P301" s="48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77">
      <c r="A302" s="55" t="n"/>
      <c r="B302" s="57" t="n"/>
      <c r="C302" s="57" t="n"/>
      <c r="D302" s="55" t="n"/>
      <c r="E302" s="57" t="n"/>
      <c r="F302" s="57" t="n"/>
      <c r="G302" s="55" t="n"/>
      <c r="H302" s="57" t="n"/>
      <c r="I302" s="57" t="n"/>
      <c r="J302" s="55" t="n"/>
      <c r="K302" s="55" t="n"/>
      <c r="L302" s="54" t="n"/>
      <c r="M302" s="164" t="n"/>
      <c r="N302" s="164" t="n"/>
      <c r="O302" s="164" t="n"/>
      <c r="P302" s="48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77">
      <c r="A303" s="59" t="n"/>
      <c r="B303" s="61" t="n"/>
      <c r="C303" s="61" t="n"/>
      <c r="D303" s="62" t="n"/>
      <c r="E303" s="61" t="n"/>
      <c r="F303" s="61" t="n"/>
      <c r="G303" s="62" t="n"/>
      <c r="H303" s="61" t="n"/>
      <c r="I303" s="61" t="n"/>
      <c r="J303" s="62" t="n"/>
      <c r="K303" s="62" t="n"/>
      <c r="L303" s="65" t="n"/>
      <c r="M303" s="66" t="n"/>
      <c r="N303" s="66" t="n"/>
      <c r="O303" s="66" t="n"/>
      <c r="P303" s="70">
        <f>SUMPRODUCT(VALUE(K297:K301))-(SUM(L297:L301))</f>
        <v/>
      </c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77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7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7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7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7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7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7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7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7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7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7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7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7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7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7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7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7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7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7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7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7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7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7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7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7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7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7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7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7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7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7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7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7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7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7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7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7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7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7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7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7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7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7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7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7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7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7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7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7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7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7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7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7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7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7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7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7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7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7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7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7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7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7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7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7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7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7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7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7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7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7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7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7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7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7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7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7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7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7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7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7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7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7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7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7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7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7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7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7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7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7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7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7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7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7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7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7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7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7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7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7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7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7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7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7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7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7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7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7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7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7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7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7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7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7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7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7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7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7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7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7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7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7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7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7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7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7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7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7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7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7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7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7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7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7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7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7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7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7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7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7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7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7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7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7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7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7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7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7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7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7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7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7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7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7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7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7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7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7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7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7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7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7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7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7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7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7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7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7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7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7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7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7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7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7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7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7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7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7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7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7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7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7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7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7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7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7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7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7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7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7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7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7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7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7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7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7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</row>
    <row r="503" ht="15.75" customHeight="1" s="17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</row>
    <row r="504" ht="15.75" customHeight="1" s="17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</row>
    <row r="505" ht="15.75" customHeight="1" s="17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</row>
    <row r="506" ht="15.75" customHeight="1" s="17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</row>
    <row r="507" ht="15.75" customHeight="1" s="17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</row>
    <row r="508" ht="15.75" customHeight="1" s="17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</row>
    <row r="509" ht="15.75" customHeight="1" s="17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</row>
    <row r="510" ht="15.75" customHeight="1" s="17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</row>
    <row r="511" ht="15.75" customHeight="1" s="17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</row>
    <row r="512" ht="15.75" customHeight="1" s="17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</row>
    <row r="513" ht="15.75" customHeight="1" s="17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</row>
    <row r="514" ht="15.75" customHeight="1" s="17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</row>
    <row r="515" ht="15.75" customHeight="1" s="17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</row>
    <row r="516" ht="15.75" customHeight="1" s="17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</row>
    <row r="517" ht="15.75" customHeight="1" s="17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</row>
    <row r="518" ht="15.75" customHeight="1" s="17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</row>
    <row r="519" ht="15.75" customHeight="1" s="17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</row>
    <row r="520" ht="15.75" customHeight="1" s="17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</row>
    <row r="521" ht="15.75" customHeight="1" s="17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</row>
    <row r="522" ht="15.75" customHeight="1" s="17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</row>
    <row r="523" ht="15.75" customHeight="1" s="17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</row>
    <row r="524" ht="15.75" customHeight="1" s="17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</row>
    <row r="525" ht="15.75" customHeight="1" s="17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</row>
    <row r="526" ht="15.75" customHeight="1" s="17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</row>
    <row r="527" ht="15.75" customHeight="1" s="17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</row>
    <row r="528" ht="15.75" customHeight="1" s="17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</row>
    <row r="529" ht="15.75" customHeight="1" s="17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</row>
    <row r="530" ht="15.75" customHeight="1" s="17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</row>
    <row r="531" ht="15.75" customHeight="1" s="17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</row>
    <row r="532" ht="15.75" customHeight="1" s="17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</row>
    <row r="533" ht="15.75" customHeight="1" s="17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</row>
    <row r="534" ht="15.75" customHeight="1" s="17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</row>
    <row r="535" ht="15.75" customHeight="1" s="17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</row>
    <row r="536" ht="15.75" customHeight="1" s="17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</row>
    <row r="537" ht="15.75" customHeight="1" s="17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</row>
    <row r="538" ht="15.75" customHeight="1" s="17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</row>
    <row r="539" ht="15.75" customHeight="1" s="17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</row>
    <row r="540" ht="15.75" customHeight="1" s="17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</row>
    <row r="541" ht="15.75" customHeight="1" s="17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</row>
    <row r="542" ht="15.75" customHeight="1" s="17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</row>
    <row r="543" ht="15.75" customHeight="1" s="17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</row>
    <row r="544" ht="15.75" customHeight="1" s="17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</row>
    <row r="545" ht="15.75" customHeight="1" s="17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</row>
    <row r="546" ht="15.75" customHeight="1" s="17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</row>
    <row r="547" ht="15.75" customHeight="1" s="17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</row>
    <row r="548" ht="15.75" customHeight="1" s="17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</row>
    <row r="549" ht="15.75" customHeight="1" s="17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</row>
    <row r="550" ht="15.75" customHeight="1" s="17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</row>
    <row r="551" ht="15.75" customHeight="1" s="17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</row>
    <row r="552" ht="15.75" customHeight="1" s="17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</row>
    <row r="553" ht="15.75" customHeight="1" s="17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</row>
    <row r="554" ht="15.75" customHeight="1" s="17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</row>
    <row r="555" ht="15.75" customHeight="1" s="17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</row>
    <row r="556" ht="15.75" customHeight="1" s="17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</row>
    <row r="557" ht="15.75" customHeight="1" s="17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</row>
    <row r="558" ht="15.75" customHeight="1" s="17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</row>
    <row r="559" ht="15.75" customHeight="1" s="17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</row>
    <row r="560" ht="15.75" customHeight="1" s="17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</row>
    <row r="561" ht="15.75" customHeight="1" s="17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</row>
    <row r="562" ht="15.75" customHeight="1" s="17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</row>
    <row r="563" ht="15.75" customHeight="1" s="17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</row>
    <row r="564" ht="15.75" customHeight="1" s="17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</row>
    <row r="565" ht="15.75" customHeight="1" s="17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</row>
    <row r="566" ht="15.75" customHeight="1" s="17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</row>
    <row r="567" ht="15.75" customHeight="1" s="17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</row>
    <row r="568" ht="15.75" customHeight="1" s="17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</row>
    <row r="569" ht="15.75" customHeight="1" s="17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</row>
    <row r="570" ht="15.75" customHeight="1" s="17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</row>
    <row r="571" ht="15.75" customHeight="1" s="17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</row>
    <row r="572" ht="15.75" customHeight="1" s="17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</row>
    <row r="573" ht="15.75" customHeight="1" s="17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</row>
    <row r="574" ht="15.75" customHeight="1" s="17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</row>
    <row r="575" ht="15.75" customHeight="1" s="17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</row>
    <row r="576" ht="15.75" customHeight="1" s="17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</row>
    <row r="577" ht="15.75" customHeight="1" s="1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</row>
    <row r="578" ht="15.75" customHeight="1" s="17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</row>
    <row r="579" ht="15.75" customHeight="1" s="17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</row>
    <row r="580" ht="15.75" customHeight="1" s="17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</row>
    <row r="581" ht="15.75" customHeight="1" s="17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</row>
    <row r="582" ht="15.75" customHeight="1" s="17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</row>
    <row r="583" ht="15.75" customHeight="1" s="17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</row>
    <row r="584" ht="15.75" customHeight="1" s="17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</row>
    <row r="585" ht="15.75" customHeight="1" s="17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</row>
    <row r="586" ht="15.75" customHeight="1" s="17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</row>
    <row r="587" ht="15.75" customHeight="1" s="17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</row>
    <row r="588" ht="15.75" customHeight="1" s="17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</row>
    <row r="589" ht="15.75" customHeight="1" s="17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</row>
    <row r="590" ht="15.75" customHeight="1" s="17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</row>
    <row r="591" ht="15.75" customHeight="1" s="17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</row>
    <row r="592" ht="15.75" customHeight="1" s="17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</row>
    <row r="593" ht="15.75" customHeight="1" s="17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</row>
    <row r="594" ht="15.75" customHeight="1" s="17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</row>
    <row r="595" ht="15.75" customHeight="1" s="17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</row>
    <row r="596" ht="15.75" customHeight="1" s="17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</row>
    <row r="597" ht="15.75" customHeight="1" s="17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</row>
    <row r="598" ht="15.75" customHeight="1" s="17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</row>
    <row r="599" ht="15.75" customHeight="1" s="17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</row>
    <row r="600" ht="15.75" customHeight="1" s="17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</row>
    <row r="601" ht="15.75" customHeight="1" s="17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</row>
    <row r="602" ht="15.75" customHeight="1" s="17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</row>
    <row r="603" ht="15.75" customHeight="1" s="17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</row>
    <row r="604" ht="15.75" customHeight="1" s="17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</row>
    <row r="605" ht="15.75" customHeight="1" s="17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</row>
    <row r="606" ht="15.75" customHeight="1" s="17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</row>
    <row r="607" ht="15.75" customHeight="1" s="17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</row>
    <row r="608" ht="15.75" customHeight="1" s="17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</row>
    <row r="609" ht="15.75" customHeight="1" s="17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</row>
    <row r="610" ht="15.75" customHeight="1" s="17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</row>
    <row r="611" ht="15.75" customHeight="1" s="17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</row>
    <row r="612" ht="15.75" customHeight="1" s="17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</row>
    <row r="613" ht="15.75" customHeight="1" s="17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</row>
    <row r="614" ht="15.75" customHeight="1" s="17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</row>
    <row r="615" ht="15.75" customHeight="1" s="17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</row>
    <row r="616" ht="15.75" customHeight="1" s="17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</row>
    <row r="617" ht="15.75" customHeight="1" s="17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</row>
    <row r="618" ht="15.75" customHeight="1" s="17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</row>
    <row r="619" ht="15.75" customHeight="1" s="17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</row>
    <row r="620" ht="15.75" customHeight="1" s="17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</row>
    <row r="621" ht="15.75" customHeight="1" s="17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</row>
    <row r="622" ht="15.75" customHeight="1" s="17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</row>
    <row r="623" ht="15.75" customHeight="1" s="17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</row>
    <row r="624" ht="15.75" customHeight="1" s="17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</row>
    <row r="625" ht="15.75" customHeight="1" s="17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</row>
    <row r="626" ht="15.75" customHeight="1" s="17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</row>
    <row r="627" ht="15.75" customHeight="1" s="17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</row>
    <row r="628" ht="15.75" customHeight="1" s="17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</row>
    <row r="629" ht="15.75" customHeight="1" s="17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</row>
    <row r="630" ht="15.75" customHeight="1" s="17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</row>
    <row r="631" ht="15.75" customHeight="1" s="17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</row>
    <row r="632" ht="15.75" customHeight="1" s="17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</row>
    <row r="633" ht="15.75" customHeight="1" s="17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</row>
    <row r="634" ht="15.75" customHeight="1" s="17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</row>
    <row r="635" ht="15.75" customHeight="1" s="17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</row>
    <row r="636" ht="15.75" customHeight="1" s="17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</row>
    <row r="637" ht="15.75" customHeight="1" s="17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</row>
    <row r="638" ht="15.75" customHeight="1" s="17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</row>
    <row r="639" ht="15.75" customHeight="1" s="17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</row>
    <row r="640" ht="15.75" customHeight="1" s="17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</row>
    <row r="641" ht="15.75" customHeight="1" s="17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</row>
    <row r="642" ht="15.75" customHeight="1" s="17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</row>
    <row r="643" ht="15.75" customHeight="1" s="17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</row>
    <row r="644" ht="15.75" customHeight="1" s="17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</row>
    <row r="645" ht="15.75" customHeight="1" s="17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</row>
    <row r="646" ht="15.75" customHeight="1" s="17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</row>
    <row r="647" ht="15.75" customHeight="1" s="17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</row>
    <row r="648" ht="15.75" customHeight="1" s="17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</row>
    <row r="649" ht="15.75" customHeight="1" s="17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</row>
    <row r="650" ht="15.75" customHeight="1" s="17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</row>
    <row r="651" ht="15.75" customHeight="1" s="17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</row>
    <row r="652" ht="15.75" customHeight="1" s="17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</row>
    <row r="653" ht="15.75" customHeight="1" s="17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</row>
    <row r="654" ht="15.75" customHeight="1" s="17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</row>
    <row r="655" ht="15.75" customHeight="1" s="17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</row>
    <row r="656" ht="15.75" customHeight="1" s="17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</row>
    <row r="657" ht="15.75" customHeight="1" s="17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</row>
    <row r="658" ht="15.75" customHeight="1" s="17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</row>
    <row r="659" ht="15.75" customHeight="1" s="17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</row>
    <row r="660" ht="15.75" customHeight="1" s="17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</row>
    <row r="661" ht="15.75" customHeight="1" s="17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</row>
    <row r="662" ht="15.75" customHeight="1" s="17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</row>
    <row r="663" ht="15.75" customHeight="1" s="17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</row>
    <row r="664" ht="15.75" customHeight="1" s="17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</row>
    <row r="665" ht="15.75" customHeight="1" s="17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</row>
    <row r="666" ht="15.75" customHeight="1" s="17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</row>
    <row r="667" ht="15.75" customHeight="1" s="17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</row>
    <row r="668" ht="15.75" customHeight="1" s="17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</row>
    <row r="669" ht="15.75" customHeight="1" s="17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</row>
    <row r="670" ht="15.75" customHeight="1" s="17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</row>
    <row r="671" ht="15.75" customHeight="1" s="17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</row>
    <row r="672" ht="15.75" customHeight="1" s="17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</row>
    <row r="673" ht="15.75" customHeight="1" s="17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</row>
    <row r="674" ht="15.75" customHeight="1" s="17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</row>
    <row r="675" ht="15.75" customHeight="1" s="17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</row>
    <row r="676" ht="15.75" customHeight="1" s="17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</row>
    <row r="677" ht="15.75" customHeight="1" s="1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</row>
    <row r="678" ht="15.75" customHeight="1" s="17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</row>
    <row r="679" ht="15.75" customHeight="1" s="17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</row>
    <row r="680" ht="15.75" customHeight="1" s="17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</row>
    <row r="681" ht="15.75" customHeight="1" s="17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</row>
    <row r="682" ht="15.75" customHeight="1" s="17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</row>
    <row r="683" ht="15.75" customHeight="1" s="17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</row>
    <row r="684" ht="15.75" customHeight="1" s="17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</row>
    <row r="685" ht="15.75" customHeight="1" s="17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</row>
    <row r="686" ht="15.75" customHeight="1" s="17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</row>
    <row r="687" ht="15.75" customHeight="1" s="17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</row>
    <row r="688" ht="15.75" customHeight="1" s="17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</row>
    <row r="689" ht="15.75" customHeight="1" s="17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</row>
    <row r="690" ht="15.75" customHeight="1" s="17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</row>
    <row r="691" ht="15.75" customHeight="1" s="17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</row>
    <row r="692" ht="15.75" customHeight="1" s="17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</row>
    <row r="693" ht="15.75" customHeight="1" s="17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</row>
    <row r="694" ht="15.75" customHeight="1" s="17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</row>
    <row r="695" ht="15.75" customHeight="1" s="17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</row>
    <row r="696" ht="15.75" customHeight="1" s="17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</row>
    <row r="697" ht="15.75" customHeight="1" s="17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</row>
    <row r="698" ht="15.75" customHeight="1" s="17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</row>
    <row r="699" ht="15.75" customHeight="1" s="17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</row>
    <row r="700" ht="15.75" customHeight="1" s="17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</row>
    <row r="701" ht="15.75" customHeight="1" s="17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</row>
    <row r="702" ht="15.75" customHeight="1" s="17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</row>
    <row r="703" ht="15.75" customHeight="1" s="17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</row>
    <row r="704" ht="15.75" customHeight="1" s="17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</row>
    <row r="705" ht="15.75" customHeight="1" s="17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</row>
    <row r="706" ht="15.75" customHeight="1" s="17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</row>
    <row r="707" ht="15.75" customHeight="1" s="17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</row>
    <row r="708" ht="15.75" customHeight="1" s="17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</row>
    <row r="709" ht="15.75" customHeight="1" s="17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</row>
    <row r="710" ht="15.75" customHeight="1" s="17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</row>
    <row r="711" ht="15.75" customHeight="1" s="17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</row>
    <row r="712" ht="15.75" customHeight="1" s="17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</row>
    <row r="713" ht="15.75" customHeight="1" s="17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</row>
    <row r="714" ht="15.75" customHeight="1" s="17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</row>
    <row r="715" ht="15.75" customHeight="1" s="17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</row>
    <row r="716" ht="15.75" customHeight="1" s="17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</row>
    <row r="717" ht="15.75" customHeight="1" s="17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</row>
    <row r="718" ht="15.75" customHeight="1" s="17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</row>
    <row r="719" ht="15.75" customHeight="1" s="17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</row>
    <row r="720" ht="15.75" customHeight="1" s="17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</row>
    <row r="721" ht="15.75" customHeight="1" s="17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</row>
    <row r="722" ht="15.75" customHeight="1" s="17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</row>
    <row r="723" ht="15.75" customHeight="1" s="17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</row>
    <row r="724" ht="15.75" customHeight="1" s="17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</row>
    <row r="725" ht="15.75" customHeight="1" s="17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</row>
    <row r="726" ht="15.75" customHeight="1" s="17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</row>
    <row r="727" ht="15.75" customHeight="1" s="17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</row>
    <row r="728" ht="15.75" customHeight="1" s="17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</row>
    <row r="729" ht="15.75" customHeight="1" s="17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</row>
    <row r="730" ht="15.75" customHeight="1" s="17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</row>
    <row r="731" ht="15.75" customHeight="1" s="17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</row>
    <row r="732" ht="15.75" customHeight="1" s="17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</row>
    <row r="733" ht="15.75" customHeight="1" s="17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</row>
    <row r="734" ht="15.75" customHeight="1" s="17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</row>
    <row r="735" ht="15.75" customHeight="1" s="17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</row>
    <row r="736" ht="15.75" customHeight="1" s="17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</row>
    <row r="737" ht="15.75" customHeight="1" s="17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</row>
    <row r="738" ht="15.75" customHeight="1" s="17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</row>
    <row r="739" ht="15.75" customHeight="1" s="17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</row>
    <row r="740" ht="15.75" customHeight="1" s="17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</row>
    <row r="741" ht="15.75" customHeight="1" s="17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</row>
    <row r="742" ht="15.75" customHeight="1" s="17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</row>
    <row r="743" ht="15.75" customHeight="1" s="17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</row>
    <row r="744" ht="15.75" customHeight="1" s="17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</row>
    <row r="745" ht="15.75" customHeight="1" s="17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</row>
    <row r="746" ht="15.75" customHeight="1" s="17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</row>
    <row r="747" ht="15.75" customHeight="1" s="17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</row>
    <row r="748" ht="15.75" customHeight="1" s="17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</row>
    <row r="749" ht="15.75" customHeight="1" s="17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</row>
    <row r="750" ht="15.75" customHeight="1" s="17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</row>
    <row r="751" ht="15.75" customHeight="1" s="17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</row>
    <row r="752" ht="15.75" customHeight="1" s="17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</row>
    <row r="753" ht="15.75" customHeight="1" s="17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</row>
    <row r="754" ht="15.75" customHeight="1" s="17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</row>
    <row r="755" ht="15.75" customHeight="1" s="17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</row>
    <row r="756" ht="15.75" customHeight="1" s="17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</row>
    <row r="757" ht="15.75" customHeight="1" s="17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</row>
    <row r="758" ht="15.75" customHeight="1" s="17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</row>
    <row r="759" ht="15.75" customHeight="1" s="17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</row>
    <row r="760" ht="15.75" customHeight="1" s="17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</row>
    <row r="761" ht="15.75" customHeight="1" s="17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</row>
    <row r="762" ht="15.75" customHeight="1" s="17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</row>
    <row r="763" ht="15.75" customHeight="1" s="17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</row>
    <row r="764" ht="15.75" customHeight="1" s="17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</row>
    <row r="765" ht="15.75" customHeight="1" s="17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</row>
    <row r="766" ht="15.75" customHeight="1" s="17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</row>
    <row r="767" ht="15.75" customHeight="1" s="17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</row>
    <row r="768" ht="15.75" customHeight="1" s="17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</row>
    <row r="769" ht="15.75" customHeight="1" s="17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</row>
    <row r="770" ht="15.75" customHeight="1" s="17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</row>
    <row r="771" ht="15.75" customHeight="1" s="17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</row>
    <row r="772" ht="15.75" customHeight="1" s="17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</row>
    <row r="773" ht="15.75" customHeight="1" s="17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</row>
    <row r="774" ht="15.75" customHeight="1" s="17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</row>
    <row r="775" ht="15.75" customHeight="1" s="17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</row>
    <row r="776" ht="15.75" customHeight="1" s="17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</row>
    <row r="777" ht="15.75" customHeight="1" s="1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</row>
    <row r="778" ht="15.75" customHeight="1" s="17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</row>
    <row r="779" ht="15.75" customHeight="1" s="17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</row>
    <row r="780" ht="15.75" customHeight="1" s="17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</row>
    <row r="781" ht="15.75" customHeight="1" s="17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</row>
    <row r="782" ht="15.75" customHeight="1" s="17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</row>
    <row r="783" ht="15.75" customHeight="1" s="17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</row>
    <row r="784" ht="15.75" customHeight="1" s="17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</row>
    <row r="785" ht="15.75" customHeight="1" s="17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</row>
    <row r="786" ht="15.75" customHeight="1" s="17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</row>
    <row r="787" ht="15.75" customHeight="1" s="17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</row>
    <row r="788" ht="15.75" customHeight="1" s="17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</row>
    <row r="789" ht="15.75" customHeight="1" s="17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</row>
    <row r="790" ht="15.75" customHeight="1" s="17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</row>
    <row r="791" ht="15.75" customHeight="1" s="17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</row>
    <row r="792" ht="15.75" customHeight="1" s="17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</row>
    <row r="793" ht="15.75" customHeight="1" s="17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</row>
    <row r="794" ht="15.75" customHeight="1" s="17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</row>
    <row r="795" ht="15.75" customHeight="1" s="17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</row>
    <row r="796" ht="15.75" customHeight="1" s="17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</row>
    <row r="797" ht="15.75" customHeight="1" s="17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</row>
    <row r="798" ht="15.75" customHeight="1" s="17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</row>
    <row r="799" ht="15.75" customHeight="1" s="17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</row>
    <row r="800" ht="15.75" customHeight="1" s="17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</row>
    <row r="801" ht="15.75" customHeight="1" s="17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</row>
    <row r="802" ht="15.75" customHeight="1" s="17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</row>
    <row r="803" ht="15.75" customHeight="1" s="17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</row>
    <row r="804" ht="15.75" customHeight="1" s="17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</row>
    <row r="805" ht="15.75" customHeight="1" s="17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</row>
    <row r="806" ht="15.75" customHeight="1" s="17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</row>
    <row r="807" ht="15.75" customHeight="1" s="17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</row>
    <row r="808" ht="15.75" customHeight="1" s="17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</row>
    <row r="809" ht="15.75" customHeight="1" s="17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</row>
    <row r="810" ht="15.75" customHeight="1" s="17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</row>
    <row r="811" ht="15.75" customHeight="1" s="17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</row>
    <row r="812" ht="15.75" customHeight="1" s="17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</row>
    <row r="813" ht="15.75" customHeight="1" s="17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</row>
    <row r="814" ht="15.75" customHeight="1" s="17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</row>
    <row r="815" ht="15.75" customHeight="1" s="17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</row>
    <row r="816" ht="15.75" customHeight="1" s="17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</row>
    <row r="817" ht="15.75" customHeight="1" s="17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</row>
    <row r="818" ht="15.75" customHeight="1" s="17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</row>
    <row r="819" ht="15.75" customHeight="1" s="17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</row>
    <row r="820" ht="15.75" customHeight="1" s="17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</row>
    <row r="821" ht="15.75" customHeight="1" s="17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</row>
    <row r="822" ht="15.75" customHeight="1" s="17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</row>
    <row r="823" ht="15.75" customHeight="1" s="17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</row>
    <row r="824" ht="15.75" customHeight="1" s="17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</row>
    <row r="825" ht="15.75" customHeight="1" s="17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</row>
    <row r="826" ht="15.75" customHeight="1" s="17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</row>
    <row r="827" ht="15.75" customHeight="1" s="17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</row>
    <row r="828" ht="15.75" customHeight="1" s="17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</row>
    <row r="829" ht="15.75" customHeight="1" s="17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</row>
    <row r="830" ht="15.75" customHeight="1" s="17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</row>
    <row r="831" ht="15.75" customHeight="1" s="17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</row>
    <row r="832" ht="15.75" customHeight="1" s="17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</row>
    <row r="833" ht="15.75" customHeight="1" s="17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</row>
    <row r="834" ht="15.75" customHeight="1" s="17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</row>
    <row r="835" ht="15.75" customHeight="1" s="17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</row>
    <row r="836" ht="15.75" customHeight="1" s="17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</row>
    <row r="837" ht="15.75" customHeight="1" s="17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</row>
    <row r="838" ht="15.75" customHeight="1" s="17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</row>
    <row r="839" ht="15.75" customHeight="1" s="17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</row>
    <row r="840" ht="15.75" customHeight="1" s="17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</row>
    <row r="841" ht="15.75" customHeight="1" s="17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</row>
    <row r="842" ht="15.75" customHeight="1" s="17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</row>
    <row r="843" ht="15.75" customHeight="1" s="17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</row>
    <row r="844" ht="15.75" customHeight="1" s="17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</row>
    <row r="845" ht="15.75" customHeight="1" s="17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</row>
    <row r="846" ht="15.75" customHeight="1" s="17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</row>
    <row r="847" ht="15.75" customHeight="1" s="17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</row>
    <row r="848" ht="15.75" customHeight="1" s="17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</row>
    <row r="849" ht="15.75" customHeight="1" s="17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</row>
    <row r="850" ht="15.75" customHeight="1" s="17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</row>
    <row r="851" ht="15.75" customHeight="1" s="17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</row>
    <row r="852" ht="15.75" customHeight="1" s="17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</row>
    <row r="853" ht="15.75" customHeight="1" s="17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</row>
    <row r="854" ht="15.75" customHeight="1" s="17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</row>
    <row r="855" ht="15.75" customHeight="1" s="17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</row>
    <row r="856" ht="15.75" customHeight="1" s="17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</row>
    <row r="857" ht="15.75" customHeight="1" s="17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</row>
    <row r="858" ht="15.75" customHeight="1" s="17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</row>
    <row r="859" ht="15.75" customHeight="1" s="17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</row>
    <row r="860" ht="15.75" customHeight="1" s="17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</row>
    <row r="861" ht="15.75" customHeight="1" s="17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</row>
    <row r="862" ht="15.75" customHeight="1" s="17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</row>
    <row r="863" ht="15.75" customHeight="1" s="17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</row>
    <row r="864" ht="15.75" customHeight="1" s="17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</row>
    <row r="865" ht="15.75" customHeight="1" s="17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</row>
    <row r="866" ht="15.75" customHeight="1" s="17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</row>
    <row r="867" ht="15.75" customHeight="1" s="17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</row>
    <row r="868" ht="15.75" customHeight="1" s="17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</row>
    <row r="869" ht="15.75" customHeight="1" s="17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</row>
    <row r="870" ht="15.75" customHeight="1" s="17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</row>
    <row r="871" ht="15.75" customHeight="1" s="17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</row>
    <row r="872" ht="15.75" customHeight="1" s="17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</row>
    <row r="873" ht="15.75" customHeight="1" s="17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</row>
    <row r="874" ht="15.75" customHeight="1" s="17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</row>
    <row r="875" ht="15.75" customHeight="1" s="17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</row>
    <row r="876" ht="15.75" customHeight="1" s="17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</row>
    <row r="877" ht="15.75" customHeight="1" s="1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</row>
    <row r="878" ht="15.75" customHeight="1" s="17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</row>
    <row r="879" ht="15.75" customHeight="1" s="17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</row>
    <row r="880" ht="15.75" customHeight="1" s="17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</row>
    <row r="881" ht="15.75" customHeight="1" s="17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</row>
    <row r="882" ht="15.75" customHeight="1" s="17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</row>
    <row r="883" ht="15.75" customHeight="1" s="17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</row>
    <row r="884" ht="15.75" customHeight="1" s="17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</row>
    <row r="885" ht="15.75" customHeight="1" s="17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</row>
    <row r="886" ht="15.75" customHeight="1" s="17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</row>
    <row r="887" ht="15.75" customHeight="1" s="17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</row>
    <row r="888" ht="15.75" customHeight="1" s="17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</row>
    <row r="889" ht="15.75" customHeight="1" s="17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</row>
    <row r="890" ht="15.75" customHeight="1" s="17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</row>
    <row r="891" ht="15.75" customHeight="1" s="17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</row>
    <row r="892" ht="15.75" customHeight="1" s="17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</row>
    <row r="893" ht="15.75" customHeight="1" s="17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</row>
    <row r="894" ht="15.75" customHeight="1" s="17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</row>
    <row r="895" ht="15.75" customHeight="1" s="17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</row>
    <row r="896" ht="15.75" customHeight="1" s="17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</row>
    <row r="897" ht="15.75" customHeight="1" s="17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</row>
    <row r="898" ht="15.75" customHeight="1" s="17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</row>
    <row r="899" ht="15.75" customHeight="1" s="17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</row>
    <row r="900" ht="15.75" customHeight="1" s="17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</row>
    <row r="901" ht="15.75" customHeight="1" s="17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</row>
    <row r="902" ht="15.75" customHeight="1" s="17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</row>
    <row r="903" ht="15.75" customHeight="1" s="17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</row>
    <row r="904" ht="15.75" customHeight="1" s="17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</row>
    <row r="905" ht="15.75" customHeight="1" s="17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</row>
    <row r="906" ht="15.75" customHeight="1" s="17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</row>
    <row r="907" ht="15.75" customHeight="1" s="17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</row>
    <row r="908" ht="15.75" customHeight="1" s="17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</row>
    <row r="909" ht="15.75" customHeight="1" s="17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</row>
    <row r="910" ht="15.75" customHeight="1" s="17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</row>
    <row r="911" ht="15.75" customHeight="1" s="17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</row>
    <row r="912" ht="15.75" customHeight="1" s="17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</row>
    <row r="913" ht="15.75" customHeight="1" s="17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</row>
    <row r="914" ht="15.75" customHeight="1" s="17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</row>
    <row r="915" ht="15.75" customHeight="1" s="17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</row>
    <row r="916" ht="15.75" customHeight="1" s="17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</row>
    <row r="917" ht="15.75" customHeight="1" s="17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</row>
    <row r="918" ht="15.75" customHeight="1" s="17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</row>
    <row r="919" ht="15.75" customHeight="1" s="17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</row>
    <row r="920" ht="15.75" customHeight="1" s="17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</row>
    <row r="921" ht="15.75" customHeight="1" s="17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</row>
    <row r="922" ht="15.75" customHeight="1" s="17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</row>
    <row r="923" ht="15.75" customHeight="1" s="17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</row>
    <row r="924" ht="15.75" customHeight="1" s="17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</row>
    <row r="925" ht="15.75" customHeight="1" s="17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</row>
    <row r="926" ht="15.75" customHeight="1" s="17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</row>
    <row r="927" ht="15.75" customHeight="1" s="17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</row>
    <row r="928" ht="15.75" customHeight="1" s="17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</row>
    <row r="929" ht="15.75" customHeight="1" s="17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</row>
    <row r="930" ht="15.75" customHeight="1" s="17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</row>
    <row r="931" ht="15.75" customHeight="1" s="17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</row>
    <row r="932" ht="15.75" customHeight="1" s="17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</row>
    <row r="933" ht="15.75" customHeight="1" s="17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</row>
    <row r="934" ht="15.75" customHeight="1" s="17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</row>
    <row r="935" ht="15.75" customHeight="1" s="17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</row>
    <row r="936" ht="15.75" customHeight="1" s="17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</row>
    <row r="937" ht="15.75" customHeight="1" s="17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</row>
    <row r="938" ht="15.75" customHeight="1" s="17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</row>
    <row r="939" ht="15.75" customHeight="1" s="17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</row>
    <row r="940" ht="15.75" customHeight="1" s="17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</row>
    <row r="941" ht="15.75" customHeight="1" s="17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</row>
    <row r="942" ht="15.75" customHeight="1" s="17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</row>
    <row r="943" ht="15.75" customHeight="1" s="17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</row>
    <row r="944" ht="15.75" customHeight="1" s="17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</row>
    <row r="945" ht="15.75" customHeight="1" s="17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</row>
    <row r="946" ht="15.75" customHeight="1" s="17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</row>
    <row r="947" ht="15.75" customHeight="1" s="17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</row>
    <row r="948" ht="15.75" customHeight="1" s="17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</row>
    <row r="949" ht="15.75" customHeight="1" s="17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</row>
    <row r="950" ht="15.75" customHeight="1" s="17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</row>
    <row r="951" ht="15.75" customHeight="1" s="17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</row>
    <row r="952" ht="15.75" customHeight="1" s="17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</row>
    <row r="953" ht="15.75" customHeight="1" s="17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</row>
    <row r="954" ht="15.75" customHeight="1" s="17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</row>
    <row r="955" ht="15.75" customHeight="1" s="17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</row>
    <row r="956" ht="15.75" customHeight="1" s="17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</row>
    <row r="957" ht="15.75" customHeight="1" s="17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</row>
    <row r="958" ht="15.75" customHeight="1" s="17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</row>
    <row r="959" ht="15.75" customHeight="1" s="17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</row>
    <row r="960" ht="15.75" customHeight="1" s="17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</row>
    <row r="961" ht="15.75" customHeight="1" s="17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</row>
    <row r="962" ht="15.75" customHeight="1" s="17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</row>
    <row r="963" ht="15.75" customHeight="1" s="17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</row>
    <row r="964" ht="15.75" customHeight="1" s="17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</row>
    <row r="965" ht="15.75" customHeight="1" s="17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</row>
    <row r="966" ht="15.75" customHeight="1" s="17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</row>
    <row r="967" ht="15.75" customHeight="1" s="17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</row>
    <row r="968" ht="15.75" customHeight="1" s="17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</row>
    <row r="969" ht="15.75" customHeight="1" s="17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</row>
    <row r="970" ht="15.75" customHeight="1" s="17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</row>
    <row r="971" ht="15.75" customHeight="1" s="17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</row>
    <row r="972" ht="15.75" customHeight="1" s="17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</row>
    <row r="973" ht="15.75" customHeight="1" s="17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</row>
    <row r="974" ht="15.75" customHeight="1" s="17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</row>
    <row r="975" ht="15.75" customHeight="1" s="17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</row>
    <row r="976" ht="15.75" customHeight="1" s="17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</row>
    <row r="977" ht="15.75" customHeight="1" s="1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</row>
    <row r="978" ht="15.75" customHeight="1" s="17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</row>
    <row r="979" ht="15.75" customHeight="1" s="17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</row>
    <row r="980" ht="15.75" customHeight="1" s="17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</row>
    <row r="981" ht="15.75" customHeight="1" s="17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</row>
    <row r="982" ht="15.75" customHeight="1" s="17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</row>
    <row r="983" ht="15.75" customHeight="1" s="17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</row>
    <row r="984" ht="15.75" customHeight="1" s="17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</row>
    <row r="985" ht="15.75" customHeight="1" s="17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</row>
    <row r="986" ht="15.75" customHeight="1" s="17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</row>
    <row r="987" ht="15.75" customHeight="1" s="17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</row>
    <row r="988" ht="15.75" customHeight="1" s="17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</row>
    <row r="989" ht="15.75" customHeight="1" s="17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</row>
    <row r="990" ht="15.75" customHeight="1" s="17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</row>
    <row r="991" ht="15.75" customHeight="1" s="17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</row>
    <row r="992" ht="15.75" customHeight="1" s="17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</row>
    <row r="993" ht="15.75" customHeight="1" s="17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</row>
    <row r="994" ht="15.75" customHeight="1" s="17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</row>
    <row r="995" ht="15.75" customHeight="1" s="17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</row>
    <row r="996" ht="15.75" customHeight="1" s="17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</row>
    <row r="997" ht="15.75" customHeight="1" s="17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</row>
    <row r="998" ht="15.75" customHeight="1" s="17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</row>
    <row r="999" ht="15.75" customHeight="1" s="17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</row>
    <row r="1000" ht="15.75" customHeight="1" s="17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</row>
  </sheetData>
  <mergeCells count="1">
    <mergeCell ref="A1:P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2026-09-22T23:19:17Z</dcterms:created>
  <dcterms:modified xmlns:dcterms="http://purl.org/dc/terms/" xmlns:xsi="http://www.w3.org/2001/XMLSchema-instance" xsi:type="dcterms:W3CDTF">2026-10-08T19:43:53Z</dcterms:modified>
</cp:coreProperties>
</file>