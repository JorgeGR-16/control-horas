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ENERALES" sheetId="1" r:id="rId4"/>
    <sheet state="visible" name="RESUMEN_GENERAL" sheetId="2" r:id="rId5"/>
    <sheet state="visible" name="COPIA" sheetId="3" r:id="rId6"/>
    <sheet state="visible" name="ALEJANDRO R.M" sheetId="4" r:id="rId7"/>
    <sheet state="visible" name="CESAR Y.E.M" sheetId="5" r:id="rId8"/>
    <sheet state="visible" name="CHRISTIAN G.G" sheetId="6" r:id="rId9"/>
    <sheet state="visible" name="FÁTIMA P.Z" sheetId="7" r:id="rId10"/>
    <sheet state="visible" name="FERNANDO J.R.G" sheetId="8" r:id="rId11"/>
    <sheet state="hidden" name="JAVIER G.S" sheetId="9" r:id="rId12"/>
    <sheet state="visible" name="KARLA Y.A.R" sheetId="10" r:id="rId13"/>
    <sheet state="visible" name="KATHERINE M.M" sheetId="11" r:id="rId14"/>
    <sheet state="visible" name="LUDWING P.C" sheetId="12" r:id="rId15"/>
    <sheet state="visible" name="LUIS F.C.G" sheetId="13" r:id="rId16"/>
    <sheet state="visible" name="MARIA N.C.M" sheetId="14" r:id="rId17"/>
    <sheet state="visible" name="MISAEL R.L" sheetId="15" r:id="rId18"/>
    <sheet state="visible" name="RAFAEL E.L.G" sheetId="16" r:id="rId19"/>
    <sheet state="visible" name="CARLOS C.T.M" sheetId="17" r:id="rId20"/>
  </sheets>
  <definedNames/>
  <calcPr/>
  <extLst>
    <ext uri="GoogleSheetsCustomDataVersion2">
      <go:sheetsCustomData xmlns:go="http://customooxmlschemas.google.com/" r:id="rId21" roundtripDataChecksum="4PF/rzOn0L8kQFJh+sbWR1PxGbZo36S/Sidff8VPCM0="/>
    </ext>
  </extLst>
</workbook>
</file>

<file path=xl/sharedStrings.xml><?xml version="1.0" encoding="utf-8"?>
<sst xmlns="http://schemas.openxmlformats.org/spreadsheetml/2006/main" count="1849" uniqueCount="1184">
  <si>
    <t>ALEJANDRO RAMOS MAYEN</t>
  </si>
  <si>
    <t>ESTATUS</t>
  </si>
  <si>
    <t>TOTAL DE HORAS A CUBRIR</t>
  </si>
  <si>
    <t>CARRERA</t>
  </si>
  <si>
    <t>MATRÍCULA</t>
  </si>
  <si>
    <t>NOMBRE</t>
  </si>
  <si>
    <t>HORAS CONTABILIZADAS</t>
  </si>
  <si>
    <t>HORAS RESTANTES</t>
  </si>
  <si>
    <t>FECHA INICIO OFICIAL</t>
  </si>
  <si>
    <t>FECHA TÉRMINO OFICIAL</t>
  </si>
  <si>
    <t>TRIMESTRE 
INGRESO</t>
  </si>
  <si>
    <t>CORREO
 INSTITUCIONAL</t>
  </si>
  <si>
    <t>CORREO 
PERSONAL</t>
  </si>
  <si>
    <t>NO.
TELEFÓNICO</t>
  </si>
  <si>
    <t>CONCLUIDO</t>
  </si>
  <si>
    <t>TOTAL CONTABILIZADO:</t>
  </si>
  <si>
    <t>Ing. Física</t>
  </si>
  <si>
    <t>KARLA DANNEY ÁLVAREZ HERNÁNDEZ</t>
  </si>
  <si>
    <t>AVANCE</t>
  </si>
  <si>
    <t>FECHA</t>
  </si>
  <si>
    <t>martes, abril 30, 2024</t>
  </si>
  <si>
    <t>ENTRADA 1</t>
  </si>
  <si>
    <t>viernes, noviembre 29, 2024</t>
  </si>
  <si>
    <t>24-I</t>
  </si>
  <si>
    <t>al2173003008@azc.uam.mx</t>
  </si>
  <si>
    <t>danneyal548@gmail.com</t>
  </si>
  <si>
    <t>SALIDA 1</t>
  </si>
  <si>
    <t>TOTAL 1</t>
  </si>
  <si>
    <t>ENTRADA 2</t>
  </si>
  <si>
    <t>CRISTOPHER JAIR ZAVALETA ROQUE</t>
  </si>
  <si>
    <t>SALIDA 2</t>
  </si>
  <si>
    <t>TOTAL 2</t>
  </si>
  <si>
    <t>ENTRADA 3</t>
  </si>
  <si>
    <t>SALIDA 3</t>
  </si>
  <si>
    <t>TOTAL 3</t>
  </si>
  <si>
    <t>TOTAL HORAS DIARIAS</t>
  </si>
  <si>
    <t>AJUSTE (-)</t>
  </si>
  <si>
    <t>JUSTIFICACIÓN</t>
  </si>
  <si>
    <t>viernes, julio 19, 2024</t>
  </si>
  <si>
    <t>viernes, enero 31, 2025</t>
  </si>
  <si>
    <t>24-P</t>
  </si>
  <si>
    <t>al2202001912@azc.uam.mx</t>
  </si>
  <si>
    <t>cristopherzavaletaroque@gmail.com</t>
  </si>
  <si>
    <t>TOTAL DE SEMANA</t>
  </si>
  <si>
    <t>Ing. Computación</t>
  </si>
  <si>
    <t>ALBERTO DANIEL GUTIERREZ RAMOS</t>
  </si>
  <si>
    <t>CESAR YAIR ESPINOSA MARTINEZ</t>
  </si>
  <si>
    <t>lunes, julio 22, 2024</t>
  </si>
  <si>
    <t>miércoles, febrero 12, 2025</t>
  </si>
  <si>
    <t>al2182003623@azc.uam.mx</t>
  </si>
  <si>
    <t>adgr_92@outlook.com</t>
  </si>
  <si>
    <t>06:37:00</t>
  </si>
  <si>
    <t>10:51:00</t>
  </si>
  <si>
    <t>04:14:00</t>
  </si>
  <si>
    <t>Ing. Industrial</t>
  </si>
  <si>
    <t>MARIA FERNANDA RODRÍGUEZ MORALES</t>
  </si>
  <si>
    <t>CHRISTIAN GONZÁLEZ GUTIÉRREZ</t>
  </si>
  <si>
    <t>martes, julio 23, 2024</t>
  </si>
  <si>
    <t>jueves, febrero 13, 2025</t>
  </si>
  <si>
    <t>al2203000455@azc.uam.mx</t>
  </si>
  <si>
    <t>fercha2308@hotmail.com</t>
  </si>
  <si>
    <t>SALMA ZUGEY RAMÍREZ LÓPEZ</t>
  </si>
  <si>
    <t>06:30:00</t>
  </si>
  <si>
    <t>10:59:00</t>
  </si>
  <si>
    <t>miércoles, agosto 7, 2024</t>
  </si>
  <si>
    <t>viernes, febrero 28, 2025</t>
  </si>
  <si>
    <t>al2192001962@azc.uam.mx</t>
  </si>
  <si>
    <t>FÁTIMA PACHECO ZACARÍAS</t>
  </si>
  <si>
    <t>sazu.amlas@gmail.com</t>
  </si>
  <si>
    <t>04:29:00</t>
  </si>
  <si>
    <t>FRANCISCO DONALDO JOSÉ ROMERO</t>
  </si>
  <si>
    <t>lunes, octubre 7, 2024</t>
  </si>
  <si>
    <t>lunes, abril 28, 2025</t>
  </si>
  <si>
    <t>al2193044210@azc.uam.mx</t>
  </si>
  <si>
    <t>Ing. Mecánica</t>
  </si>
  <si>
    <t>CARLOS SANTIAGO ROMO HERNANDEZ</t>
  </si>
  <si>
    <t>FERNANDO JAVIER RAMIREZ GARCIA</t>
  </si>
  <si>
    <t>07:03:00</t>
  </si>
  <si>
    <t>10:49:00</t>
  </si>
  <si>
    <t>03:46:00</t>
  </si>
  <si>
    <t>lunes, octubre 28, 2024</t>
  </si>
  <si>
    <t>lunes, mayo 19,2025</t>
  </si>
  <si>
    <t>24-O</t>
  </si>
  <si>
    <t>al2173074678@azc.uam.mx</t>
  </si>
  <si>
    <t>Santiago-romo@hotmail.com</t>
  </si>
  <si>
    <t>Ing. Electrónica</t>
  </si>
  <si>
    <t>FERNANDA LETICIA SANCHEZ RAMOS</t>
  </si>
  <si>
    <t>06:24:00</t>
  </si>
  <si>
    <t>11:30:00</t>
  </si>
  <si>
    <t>05:06:00</t>
  </si>
  <si>
    <t>KARLA YAMILET AGUILAR RAMÍREZ</t>
  </si>
  <si>
    <t>al2182003972@azc.uam.mx</t>
  </si>
  <si>
    <t>let23cr@gmail.com</t>
  </si>
  <si>
    <t>06:32:00</t>
  </si>
  <si>
    <t>LEVY SEBASTIAN GONZÁLEZ PERIVÁN</t>
  </si>
  <si>
    <t>10:50:00</t>
  </si>
  <si>
    <t>04:18:00</t>
  </si>
  <si>
    <t>al2203033945@azc.uam.mx</t>
  </si>
  <si>
    <t>KATHERINE MENDEZ MARQUEZ</t>
  </si>
  <si>
    <t>runing735@gmail.com</t>
  </si>
  <si>
    <t>JESÚS JIMENEZ PRADO</t>
  </si>
  <si>
    <t>martes, octubre29, 2024</t>
  </si>
  <si>
    <t>martes, mayo 20,2025</t>
  </si>
  <si>
    <t>jesusjimpra@icloud.com</t>
  </si>
  <si>
    <t>ISAAC MAURICIO FUENTES GONZÁLEZ</t>
  </si>
  <si>
    <t>LUDWING PINEDA CUEVAS</t>
  </si>
  <si>
    <t>miércoles, noviembre 06, 2024</t>
  </si>
  <si>
    <t>martes, 27 de mayo de 2025</t>
  </si>
  <si>
    <t>al2143002726@azc.uam.mx</t>
  </si>
  <si>
    <t>isaackiller1107@gmail.com</t>
  </si>
  <si>
    <t>REINA CHUPIN CARBAJAL</t>
  </si>
  <si>
    <t>al2173039268@azc.uam.mx</t>
  </si>
  <si>
    <t>reinachc32@gmail.com</t>
  </si>
  <si>
    <t>JORGE GUTIERREZ ROMERO</t>
  </si>
  <si>
    <t>LUIS FERNANDO CASTILLO GARCÍA</t>
  </si>
  <si>
    <t>al2193040721@azc.uam.mx</t>
  </si>
  <si>
    <t>jgr5373@gmail.com</t>
  </si>
  <si>
    <t>DAVID RICARDO VAZQUEZ CESPEDES</t>
  </si>
  <si>
    <t>MARIA NATALIA CABRERA MONJARAS</t>
  </si>
  <si>
    <t>al2193040909@azc.uam.mx</t>
  </si>
  <si>
    <t>06:50:28</t>
  </si>
  <si>
    <t>dvazquezcespedes5@gmail.com</t>
  </si>
  <si>
    <t>11:00:41</t>
  </si>
  <si>
    <t>04:10:13</t>
  </si>
  <si>
    <t>Ing. Eléctrica</t>
  </si>
  <si>
    <t>DANIEL CASARREAL RODRÍGUEZ</t>
  </si>
  <si>
    <t>Tiempo no justificado</t>
  </si>
  <si>
    <t>06:35:58</t>
  </si>
  <si>
    <t>11:01:41</t>
  </si>
  <si>
    <t>04:25:43</t>
  </si>
  <si>
    <t>MISAEL RIVERA LÓPEZ</t>
  </si>
  <si>
    <t>al2193003595@azc.uam.mx</t>
  </si>
  <si>
    <t>cxdanny230@gmail.com</t>
  </si>
  <si>
    <t>#VALUE!</t>
  </si>
  <si>
    <t>URIEL ISMAEL SOLÍS SILVA</t>
  </si>
  <si>
    <t>06:38:11</t>
  </si>
  <si>
    <t>11:00:00</t>
  </si>
  <si>
    <t>00:00:00</t>
  </si>
  <si>
    <t>06:39:23</t>
  </si>
  <si>
    <t>11:00:16</t>
  </si>
  <si>
    <t>04:20:53</t>
  </si>
  <si>
    <t>25-I</t>
  </si>
  <si>
    <t>al2163034037@azc.uam.mx</t>
  </si>
  <si>
    <t>RAFAEL EDUARDO LAGUNAS GÓMEZ</t>
  </si>
  <si>
    <t>06:40:44</t>
  </si>
  <si>
    <t>11:00:38</t>
  </si>
  <si>
    <t>04:19:54</t>
  </si>
  <si>
    <t xml:space="preserve">JESSICA HERNANDEZ SAAB                                          </t>
  </si>
  <si>
    <t>06:35:47</t>
  </si>
  <si>
    <t>11:03:39</t>
  </si>
  <si>
    <t>04:27:52</t>
  </si>
  <si>
    <t>al2173008941@azc.uam.mx</t>
  </si>
  <si>
    <t>CARLOS CRISTOPHER TERRAZAS MARTINEZ</t>
  </si>
  <si>
    <t xml:space="preserve">SERGIO EMILIANO BALTAZAR GARCELA                                          </t>
  </si>
  <si>
    <t>al2152000365@azc.uam.mx</t>
  </si>
  <si>
    <t>ÁNGEL NOGUEZ MENDIZABAL</t>
  </si>
  <si>
    <t>al2183001472@azc.uam.mx</t>
  </si>
  <si>
    <t>eldrnoguez@gmail.com</t>
  </si>
  <si>
    <t>MARCOS ÁLVAREZ VIDAL</t>
  </si>
  <si>
    <t>06:41:26</t>
  </si>
  <si>
    <t>11:11:45</t>
  </si>
  <si>
    <t>04:30:19</t>
  </si>
  <si>
    <t>al2182005967@azc.uam.mx</t>
  </si>
  <si>
    <t>JOSÉ ARMANDO VALENCIA GONZÁLEZ</t>
  </si>
  <si>
    <t>07:17:28</t>
  </si>
  <si>
    <t>11:00:12</t>
  </si>
  <si>
    <t>03:42:44</t>
  </si>
  <si>
    <t>06:33:55</t>
  </si>
  <si>
    <t>11:02:46</t>
  </si>
  <si>
    <t>04:28:51</t>
  </si>
  <si>
    <t>07:07:25</t>
  </si>
  <si>
    <t>11:00:11</t>
  </si>
  <si>
    <t>03:52:46</t>
  </si>
  <si>
    <t>al2173076707@azc.uam.mx</t>
  </si>
  <si>
    <t>ESAU HEJECATL JUÁREZ AGUILAR</t>
  </si>
  <si>
    <t>al2212001880@azc.uam.mx</t>
  </si>
  <si>
    <t>esaujuares@gmail.com</t>
  </si>
  <si>
    <t>EDUARDO CORTEZ MONTAÑO</t>
  </si>
  <si>
    <t>al2182002288@azc.uam.mx</t>
  </si>
  <si>
    <t>MANUEL CRUZ GUADARRAMA</t>
  </si>
  <si>
    <t>al2192007624@azc.uam.mx</t>
  </si>
  <si>
    <t>ARMANDO PÉREZ GARCÍA</t>
  </si>
  <si>
    <t>06:38:41</t>
  </si>
  <si>
    <t>11:59:53</t>
  </si>
  <si>
    <t>05:21:12</t>
  </si>
  <si>
    <t>ALEXIS ARIEL HERNÁNDEZ SALGADO</t>
  </si>
  <si>
    <t>06:34:57</t>
  </si>
  <si>
    <t>10:58:54</t>
  </si>
  <si>
    <t>04:23:57</t>
  </si>
  <si>
    <t>25-P</t>
  </si>
  <si>
    <t>al2182002948@azc.uam.mx</t>
  </si>
  <si>
    <t>hernandezsalgadoalexis@gmail.com</t>
  </si>
  <si>
    <t>06:57:09</t>
  </si>
  <si>
    <t>10:59:57</t>
  </si>
  <si>
    <t>04:02:48</t>
  </si>
  <si>
    <t>RONALDO JAVIER CRUZ ARREOLA</t>
  </si>
  <si>
    <t>Ausencia injustificada</t>
  </si>
  <si>
    <t>06:42:03</t>
  </si>
  <si>
    <t>25-O</t>
  </si>
  <si>
    <t>10:59:33</t>
  </si>
  <si>
    <t>al2222004722@azc.uam.mx</t>
  </si>
  <si>
    <t>04:17:30</t>
  </si>
  <si>
    <t>ronaldojca2901@gmail.com</t>
  </si>
  <si>
    <t>EDUARDO LUNA REYES</t>
  </si>
  <si>
    <t>al2142000040@azc.uam.mx</t>
  </si>
  <si>
    <t>eduardolunareyes1@gmail.com</t>
  </si>
  <si>
    <t>ÁNGEL  GAEL  ALMONACID MENDOZA</t>
  </si>
  <si>
    <t>al2213032521@azc.uam.mx</t>
  </si>
  <si>
    <t>ing. Electrónica</t>
  </si>
  <si>
    <t>RAFAEL PIÑA CALIXTO</t>
  </si>
  <si>
    <t>al2193004190@azc.uam.mx</t>
  </si>
  <si>
    <t>rafp.c2001@gmail.com</t>
  </si>
  <si>
    <t>06:56:48</t>
  </si>
  <si>
    <t>11:01:20</t>
  </si>
  <si>
    <t>04:04:32</t>
  </si>
  <si>
    <t>CINDY MADIÁN MALDONADO ROSAS</t>
  </si>
  <si>
    <t>06:41:40</t>
  </si>
  <si>
    <t>10:59:20</t>
  </si>
  <si>
    <t>04:17:40</t>
  </si>
  <si>
    <t>JENNIFER RUBÍ MORALEZ VERA</t>
  </si>
  <si>
    <t>lunes, novembre 10, 2025</t>
  </si>
  <si>
    <t>miercoles, mayo 13, 2025</t>
  </si>
  <si>
    <t>06:35:21</t>
  </si>
  <si>
    <t>04:24:51</t>
  </si>
  <si>
    <t>DAYANA SOLORZA NOLASCO</t>
  </si>
  <si>
    <t>06:46:36</t>
  </si>
  <si>
    <t>al2203000348@azc.uam.mx</t>
  </si>
  <si>
    <t>ARTURO ORTEGA PÉREZ</t>
  </si>
  <si>
    <t>al2212006803@azc.uam.mx</t>
  </si>
  <si>
    <t>HILARIO MARTIN CRUZ CRUZ</t>
  </si>
  <si>
    <t>FERNANDO GUTIÉRREZ HERRERA</t>
  </si>
  <si>
    <t>26-I</t>
  </si>
  <si>
    <t>al2183042213@azc.uam.mx</t>
  </si>
  <si>
    <t>kamina.gh27@outlook.com</t>
  </si>
  <si>
    <t>PERCY OSIEL CHÁVEZ GONZÁLEZ</t>
  </si>
  <si>
    <t>al2213032683@gmail.com</t>
  </si>
  <si>
    <t>percygonzalez999@gmail.com</t>
  </si>
  <si>
    <t>JAVIER GUERRERO SALAS</t>
  </si>
  <si>
    <t>al2202001994@azc.uam.mx</t>
  </si>
  <si>
    <t>jgs27052002@gmail.com</t>
  </si>
  <si>
    <t>ACTIVO</t>
  </si>
  <si>
    <t>al2192007142@azc.uam.mx</t>
  </si>
  <si>
    <t>katherinemend25@gmail.com</t>
  </si>
  <si>
    <t>al2192000287@azc.uam.mx</t>
  </si>
  <si>
    <t>fatimapzcd9@gmail.com</t>
  </si>
  <si>
    <t>RAMOS MAYÉN ALEJANDRO</t>
  </si>
  <si>
    <t>26-P</t>
  </si>
  <si>
    <t>al2212005477@azc.uam.mx</t>
  </si>
  <si>
    <t>ramosmayenalejandro700@gmail.com</t>
  </si>
  <si>
    <t>GONZÁLEZ GUTIÉRREZ CHRISTIAN</t>
  </si>
  <si>
    <t>al2203029585@azc.uam.mx</t>
  </si>
  <si>
    <t>xgth44@gmail.com</t>
  </si>
  <si>
    <t>CASTILLO GARCÍA LUIS FERNANDO</t>
  </si>
  <si>
    <t>al2163001145@azc.uam.mx</t>
  </si>
  <si>
    <t>luisfer.castillo.garcia@gmail.com</t>
  </si>
  <si>
    <t>RAMÍREZ GARCÍA FERNANDO JAVIER</t>
  </si>
  <si>
    <t>al2223037289@azc.uam.mx</t>
  </si>
  <si>
    <t>fernando.ramirezga.55@gmail.com</t>
  </si>
  <si>
    <t>AGUILAR RAMÍREZ KARLA YAMILET</t>
  </si>
  <si>
    <t>al2213001786@azc.uam.mx</t>
  </si>
  <si>
    <t>kyaraaguilar2@gmail.com</t>
  </si>
  <si>
    <t>CABRERA MONJARÁS MARÍA NATALIA</t>
  </si>
  <si>
    <t>al2222003761@azc.uam.mx</t>
  </si>
  <si>
    <t>cabrera.natalia003@gmail.com</t>
  </si>
  <si>
    <t>LAGUNAS GÓMEZ RAFAEL EDUARDO</t>
  </si>
  <si>
    <t>al2223033254@azc.uam.mx</t>
  </si>
  <si>
    <t>rafaellagunas178@gmail.com</t>
  </si>
  <si>
    <t>ESPINOSA MARTÍNEZ CESAR YAIR</t>
  </si>
  <si>
    <t>al2212005959@azc.uam.mx</t>
  </si>
  <si>
    <t>cesaryaem@gmail.com</t>
  </si>
  <si>
    <t>RIVERA LOPEZ MISAEL</t>
  </si>
  <si>
    <t>al218200098@azc.uam.mx</t>
  </si>
  <si>
    <t>akatsiki.10@gmail.com</t>
  </si>
  <si>
    <t>PINEDA CUEVA LUDWING</t>
  </si>
  <si>
    <t>26-O</t>
  </si>
  <si>
    <t>al2193041059@azc.uam.mx</t>
  </si>
  <si>
    <t>Ludwingpineda77@gmail.com</t>
  </si>
  <si>
    <t>TERRAZAS MARTINEZ CARLOS CRISTOPHER</t>
  </si>
  <si>
    <t>al2202005250@azc.uam.mx</t>
  </si>
  <si>
    <t>cterrazasmartinez95@gmail.com</t>
  </si>
  <si>
    <t>15:18:00</t>
  </si>
  <si>
    <t>20:50:00</t>
  </si>
  <si>
    <t>15:13:00</t>
  </si>
  <si>
    <t>20:18:00</t>
  </si>
  <si>
    <t>15:16:00</t>
  </si>
  <si>
    <t>20:20:00</t>
  </si>
  <si>
    <t>15:21:00</t>
  </si>
  <si>
    <t>20:33:00</t>
  </si>
  <si>
    <t>15:22:17</t>
  </si>
  <si>
    <t>20:31:49</t>
  </si>
  <si>
    <t>05:09:32</t>
  </si>
  <si>
    <t>Solo 1 hora Justificada</t>
  </si>
  <si>
    <t>15:22:19</t>
  </si>
  <si>
    <t>20:30:20</t>
  </si>
  <si>
    <t>05:08:01</t>
  </si>
  <si>
    <t>15:24:53</t>
  </si>
  <si>
    <t>20:31:17</t>
  </si>
  <si>
    <t>05:06:24</t>
  </si>
  <si>
    <t>15:21:57</t>
  </si>
  <si>
    <t>20:39:52</t>
  </si>
  <si>
    <t>05:17:55</t>
  </si>
  <si>
    <t>16:38:09</t>
  </si>
  <si>
    <t>20:31:08</t>
  </si>
  <si>
    <t>03:52:59</t>
  </si>
  <si>
    <t>15:38:58</t>
  </si>
  <si>
    <t>20:32:17</t>
  </si>
  <si>
    <t>04:53:19</t>
  </si>
  <si>
    <t>15:55:41</t>
  </si>
  <si>
    <t>20:37:23</t>
  </si>
  <si>
    <t>04:41:42</t>
  </si>
  <si>
    <t>Tiempo jutificdo</t>
  </si>
  <si>
    <t>15:22:05</t>
  </si>
  <si>
    <t>20:34:04</t>
  </si>
  <si>
    <t>05:11:59</t>
  </si>
  <si>
    <t>15:34:45</t>
  </si>
  <si>
    <t>20:29:50</t>
  </si>
  <si>
    <t>04:55:05</t>
  </si>
  <si>
    <t>15:29:46</t>
  </si>
  <si>
    <t>20:31:07</t>
  </si>
  <si>
    <t>05:01:21</t>
  </si>
  <si>
    <t>16:35:46</t>
  </si>
  <si>
    <t>20:30:45</t>
  </si>
  <si>
    <t>03:54:59</t>
  </si>
  <si>
    <t>16:23:02</t>
  </si>
  <si>
    <t>20:31:50</t>
  </si>
  <si>
    <t>04:08:48</t>
  </si>
  <si>
    <t>16:54:12</t>
  </si>
  <si>
    <t>21:00:27</t>
  </si>
  <si>
    <t>04:06:15</t>
  </si>
  <si>
    <t>16:36:08</t>
  </si>
  <si>
    <t>20:31:10</t>
  </si>
  <si>
    <t>03:55:02</t>
  </si>
  <si>
    <t>13:31:44</t>
  </si>
  <si>
    <t>17:32:35</t>
  </si>
  <si>
    <t>04:00:51</t>
  </si>
  <si>
    <t>15:32:02</t>
  </si>
  <si>
    <t>20:36:05</t>
  </si>
  <si>
    <t>05:04:03</t>
  </si>
  <si>
    <t>11:45:00</t>
  </si>
  <si>
    <t>12:49:00</t>
  </si>
  <si>
    <t>01:04:00</t>
  </si>
  <si>
    <t>14:05:00</t>
  </si>
  <si>
    <t>17:17:00</t>
  </si>
  <si>
    <t>03:12:00</t>
  </si>
  <si>
    <t>04:16:00</t>
  </si>
  <si>
    <t>00:16.00</t>
  </si>
  <si>
    <t>06:35:00</t>
  </si>
  <si>
    <t>11:29:00</t>
  </si>
  <si>
    <t>04:54:00</t>
  </si>
  <si>
    <t>13:09:00</t>
  </si>
  <si>
    <t>17:21:00</t>
  </si>
  <si>
    <t>04:12:00</t>
  </si>
  <si>
    <t>06:43:00</t>
  </si>
  <si>
    <t>11:31:00</t>
  </si>
  <si>
    <t>04:48:00</t>
  </si>
  <si>
    <t>13:15:00</t>
  </si>
  <si>
    <t>17:16:00</t>
  </si>
  <si>
    <t>04:01:00</t>
  </si>
  <si>
    <t>11:50:00</t>
  </si>
  <si>
    <t>13:00:04</t>
  </si>
  <si>
    <t>01:10:04</t>
  </si>
  <si>
    <t>14:25:45</t>
  </si>
  <si>
    <t>17:26:23</t>
  </si>
  <si>
    <t>03:00:38</t>
  </si>
  <si>
    <t>04:10:42</t>
  </si>
  <si>
    <t>06:44:17</t>
  </si>
  <si>
    <t>11:01:46</t>
  </si>
  <si>
    <t>04:17:29</t>
  </si>
  <si>
    <t>13:16:02</t>
  </si>
  <si>
    <t>17:30:24</t>
  </si>
  <si>
    <t>04:14:22</t>
  </si>
  <si>
    <t>06:55:52</t>
  </si>
  <si>
    <t>11:00:54</t>
  </si>
  <si>
    <t>04:05:02</t>
  </si>
  <si>
    <t>13:26:34</t>
  </si>
  <si>
    <t>17:31:41</t>
  </si>
  <si>
    <t>04:05:07</t>
  </si>
  <si>
    <t>11:49:02</t>
  </si>
  <si>
    <t>13:00:01</t>
  </si>
  <si>
    <t>01:10:59</t>
  </si>
  <si>
    <t>14:36:03</t>
  </si>
  <si>
    <t>17:30:15</t>
  </si>
  <si>
    <t>02:54:12</t>
  </si>
  <si>
    <t>04:05:11</t>
  </si>
  <si>
    <t>06:46:45</t>
  </si>
  <si>
    <t>04:13:31</t>
  </si>
  <si>
    <t>13:14:08</t>
  </si>
  <si>
    <t>17:28:17</t>
  </si>
  <si>
    <t>04:14:09</t>
  </si>
  <si>
    <t>06:45:20</t>
  </si>
  <si>
    <t>11:00:15</t>
  </si>
  <si>
    <t>04:14:55</t>
  </si>
  <si>
    <t>13:32:58</t>
  </si>
  <si>
    <t>17:29:23</t>
  </si>
  <si>
    <t>03:56:25</t>
  </si>
  <si>
    <t>07:04:04</t>
  </si>
  <si>
    <t>11:00:44</t>
  </si>
  <si>
    <t>03:56:40</t>
  </si>
  <si>
    <t>13:19:00</t>
  </si>
  <si>
    <t>17:29:22</t>
  </si>
  <si>
    <t>04:10:22</t>
  </si>
  <si>
    <t>06:45:51</t>
  </si>
  <si>
    <t>11:00:01</t>
  </si>
  <si>
    <t>04:14:10</t>
  </si>
  <si>
    <t>13:25:48</t>
  </si>
  <si>
    <t>17:33:24</t>
  </si>
  <si>
    <t>04:07:36</t>
  </si>
  <si>
    <t>11:56:10</t>
  </si>
  <si>
    <t>12:59:45</t>
  </si>
  <si>
    <t>01:03:35</t>
  </si>
  <si>
    <t>06:56:11</t>
  </si>
  <si>
    <t>10:59:25</t>
  </si>
  <si>
    <t>04:03:14</t>
  </si>
  <si>
    <t>13:26:29</t>
  </si>
  <si>
    <t>06:37:53</t>
  </si>
  <si>
    <t>08:54:00</t>
  </si>
  <si>
    <t>09:44:00</t>
  </si>
  <si>
    <t>00:50:00</t>
  </si>
  <si>
    <t>15:53:00</t>
  </si>
  <si>
    <t>01:23:00</t>
  </si>
  <si>
    <t>02:13:00</t>
  </si>
  <si>
    <t>11:20:00</t>
  </si>
  <si>
    <t>03:58:00</t>
  </si>
  <si>
    <t>09:40:00</t>
  </si>
  <si>
    <t>00:46:00</t>
  </si>
  <si>
    <t>12:51:00</t>
  </si>
  <si>
    <t>14:19:00</t>
  </si>
  <si>
    <t>01:28:00</t>
  </si>
  <si>
    <t>16:13:00</t>
  </si>
  <si>
    <t>03:18:00</t>
  </si>
  <si>
    <t>08:57:00</t>
  </si>
  <si>
    <t>09:43:00</t>
  </si>
  <si>
    <t>11:22:00</t>
  </si>
  <si>
    <t>14:26:00</t>
  </si>
  <si>
    <t>03:04:00</t>
  </si>
  <si>
    <t>03:50:00</t>
  </si>
  <si>
    <t>08:51:00</t>
  </si>
  <si>
    <t>09:46:00</t>
  </si>
  <si>
    <t>00:55:00</t>
  </si>
  <si>
    <t>12:59:00</t>
  </si>
  <si>
    <t>14:12:00</t>
  </si>
  <si>
    <t>01:13:00</t>
  </si>
  <si>
    <t>16:12:00</t>
  </si>
  <si>
    <t>17:14:00</t>
  </si>
  <si>
    <t>01:02:00</t>
  </si>
  <si>
    <t>03:10:00</t>
  </si>
  <si>
    <t>09:06:35</t>
  </si>
  <si>
    <t>09:59:35</t>
  </si>
  <si>
    <t>00:53:00</t>
  </si>
  <si>
    <t>16:13:55</t>
  </si>
  <si>
    <t>17:22:53</t>
  </si>
  <si>
    <t>09:06:57</t>
  </si>
  <si>
    <t>09:56:32</t>
  </si>
  <si>
    <t>00:49:35</t>
  </si>
  <si>
    <t>13:20:25</t>
  </si>
  <si>
    <t>14:33:26</t>
  </si>
  <si>
    <t>16:12:44</t>
  </si>
  <si>
    <t>18:58:17</t>
  </si>
  <si>
    <t>02:45:33</t>
  </si>
  <si>
    <t>09:09:02</t>
  </si>
  <si>
    <t>10:03:12</t>
  </si>
  <si>
    <t>00:54:10</t>
  </si>
  <si>
    <t>11:28:46</t>
  </si>
  <si>
    <t>15:47:40</t>
  </si>
  <si>
    <t>09:06:55</t>
  </si>
  <si>
    <t>10:02:30</t>
  </si>
  <si>
    <t>00:55:35</t>
  </si>
  <si>
    <t>12:59:39</t>
  </si>
  <si>
    <t>16:08:56</t>
  </si>
  <si>
    <t>17:31:47</t>
  </si>
  <si>
    <t>01:22:51</t>
  </si>
  <si>
    <t>09:01:47</t>
  </si>
  <si>
    <t>09:04:10</t>
  </si>
  <si>
    <t>09:56:38</t>
  </si>
  <si>
    <t>00:52:28</t>
  </si>
  <si>
    <t>12:29:40</t>
  </si>
  <si>
    <t>09:59:00</t>
  </si>
  <si>
    <t>13:00:30</t>
  </si>
  <si>
    <t>14:06:00</t>
  </si>
  <si>
    <t>00:30:50</t>
  </si>
  <si>
    <t>04:07:00</t>
  </si>
  <si>
    <t>01:23:18</t>
  </si>
  <si>
    <t>09:12:44</t>
  </si>
  <si>
    <t>09:59:58</t>
  </si>
  <si>
    <t>00:47:14</t>
  </si>
  <si>
    <t>11:27:03</t>
  </si>
  <si>
    <t>17:32:33</t>
  </si>
  <si>
    <t>06:05:30</t>
  </si>
  <si>
    <t>06:52:44</t>
  </si>
  <si>
    <t>09:01:53</t>
  </si>
  <si>
    <t>09:58:26</t>
  </si>
  <si>
    <t>09:38:00</t>
  </si>
  <si>
    <t>00:56:33</t>
  </si>
  <si>
    <t>11:31:28</t>
  </si>
  <si>
    <t>17:29:07</t>
  </si>
  <si>
    <t>05:57:39</t>
  </si>
  <si>
    <t>12:45:00</t>
  </si>
  <si>
    <t>06:54:12</t>
  </si>
  <si>
    <t>03:07:00</t>
  </si>
  <si>
    <t>15:48:00</t>
  </si>
  <si>
    <t>17:50:00</t>
  </si>
  <si>
    <t>09:09:33</t>
  </si>
  <si>
    <t>02:02:00</t>
  </si>
  <si>
    <t>10:02:35</t>
  </si>
  <si>
    <t>00:53:02</t>
  </si>
  <si>
    <t>11:21:13</t>
  </si>
  <si>
    <t>17:36:05</t>
  </si>
  <si>
    <t>06:14:52</t>
  </si>
  <si>
    <t>07:07:54</t>
  </si>
  <si>
    <t>05:09:00</t>
  </si>
  <si>
    <t>11:29:22</t>
  </si>
  <si>
    <t>14:32:04</t>
  </si>
  <si>
    <t>03:02:42</t>
  </si>
  <si>
    <t>09:56:00</t>
  </si>
  <si>
    <t>16:10:40</t>
  </si>
  <si>
    <t>13:47:00</t>
  </si>
  <si>
    <t>17:29:08</t>
  </si>
  <si>
    <t>03:51:00</t>
  </si>
  <si>
    <t>01:18:28</t>
  </si>
  <si>
    <t>04:21:10</t>
  </si>
  <si>
    <t>09:50:00</t>
  </si>
  <si>
    <t>13:48:00</t>
  </si>
  <si>
    <t>09:26:00</t>
  </si>
  <si>
    <t>13:49:00</t>
  </si>
  <si>
    <t>04:23:00</t>
  </si>
  <si>
    <t>09:14:52</t>
  </si>
  <si>
    <t>17:03:57</t>
  </si>
  <si>
    <t>10:04:27</t>
  </si>
  <si>
    <t>11:27:43</t>
  </si>
  <si>
    <t>01:23:16</t>
  </si>
  <si>
    <t>13:11:44</t>
  </si>
  <si>
    <t>14:25:54</t>
  </si>
  <si>
    <t>16:08:18</t>
  </si>
  <si>
    <t>16:57:55</t>
  </si>
  <si>
    <t>00:49:37</t>
  </si>
  <si>
    <t>09:04:12</t>
  </si>
  <si>
    <t>10:05:51</t>
  </si>
  <si>
    <t>13:04:06</t>
  </si>
  <si>
    <t>14:33:01</t>
  </si>
  <si>
    <t>01:28:55</t>
  </si>
  <si>
    <t>16:06:49</t>
  </si>
  <si>
    <t>17:29:27</t>
  </si>
  <si>
    <t>01:22:38</t>
  </si>
  <si>
    <t>03:53:12</t>
  </si>
  <si>
    <t>08:59:29</t>
  </si>
  <si>
    <t>09:57:53</t>
  </si>
  <si>
    <t>11:30:43</t>
  </si>
  <si>
    <t>15:31:47</t>
  </si>
  <si>
    <t>04:01:04</t>
  </si>
  <si>
    <t>10:07:08</t>
  </si>
  <si>
    <t>12:57:51</t>
  </si>
  <si>
    <t>04:59:28</t>
  </si>
  <si>
    <t>02:50:43</t>
  </si>
  <si>
    <t>15:52:35</t>
  </si>
  <si>
    <t>09:08:47</t>
  </si>
  <si>
    <t>10:16:47</t>
  </si>
  <si>
    <t>11:25:51</t>
  </si>
  <si>
    <t>11:27:09</t>
  </si>
  <si>
    <t>00:01:18</t>
  </si>
  <si>
    <t>13:16:51</t>
  </si>
  <si>
    <t>14:39:58</t>
  </si>
  <si>
    <t>01:23:07</t>
  </si>
  <si>
    <t>02:32:25</t>
  </si>
  <si>
    <t>10:03:35</t>
  </si>
  <si>
    <t>13:57:06</t>
  </si>
  <si>
    <t>03:53:31</t>
  </si>
  <si>
    <t>09:41:44</t>
  </si>
  <si>
    <t>13:54:00</t>
  </si>
  <si>
    <t>04:12:16</t>
  </si>
  <si>
    <t>09:07:18</t>
  </si>
  <si>
    <t>10:06:46</t>
  </si>
  <si>
    <t>00:59:28</t>
  </si>
  <si>
    <t>16:15:43</t>
  </si>
  <si>
    <t>17:32:43</t>
  </si>
  <si>
    <t>01:17:00</t>
  </si>
  <si>
    <t>02:16:28</t>
  </si>
  <si>
    <t>10:00:28</t>
  </si>
  <si>
    <t>00:51:41</t>
  </si>
  <si>
    <t>11:26:23</t>
  </si>
  <si>
    <t>10:08:30</t>
  </si>
  <si>
    <t>11:22:32</t>
  </si>
  <si>
    <t>01:14:02</t>
  </si>
  <si>
    <t>13:02:46</t>
  </si>
  <si>
    <t>14:26:55</t>
  </si>
  <si>
    <t>01:24:09</t>
  </si>
  <si>
    <t>16:09:49</t>
  </si>
  <si>
    <t>16:57:13</t>
  </si>
  <si>
    <t>00:47:24</t>
  </si>
  <si>
    <t>03:25:35</t>
  </si>
  <si>
    <t>16:01:40</t>
  </si>
  <si>
    <t>17:05:43</t>
  </si>
  <si>
    <t>01:04:03</t>
  </si>
  <si>
    <t>09:54:31</t>
  </si>
  <si>
    <t>14:14:29</t>
  </si>
  <si>
    <t>04:19:58</t>
  </si>
  <si>
    <t>09:59:28</t>
  </si>
  <si>
    <t>12:52:54</t>
  </si>
  <si>
    <t>02:53:26</t>
  </si>
  <si>
    <t>16:05:47</t>
  </si>
  <si>
    <t>16:56:36</t>
  </si>
  <si>
    <t>00:50:49</t>
  </si>
  <si>
    <t>03:44:15</t>
  </si>
  <si>
    <t>10:02:42</t>
  </si>
  <si>
    <t>14:09:23</t>
  </si>
  <si>
    <t>04:06:41</t>
  </si>
  <si>
    <t>09:50:25</t>
  </si>
  <si>
    <t>16:10:39</t>
  </si>
  <si>
    <t>06:20:14</t>
  </si>
  <si>
    <t>Tiempo Justificado</t>
  </si>
  <si>
    <t>09:57:17</t>
  </si>
  <si>
    <t>13:58:20</t>
  </si>
  <si>
    <t>04:01:03</t>
  </si>
  <si>
    <t>10:21:55</t>
  </si>
  <si>
    <t>11:26:24</t>
  </si>
  <si>
    <t>01:04:29</t>
  </si>
  <si>
    <t>13:07:21</t>
  </si>
  <si>
    <t>14:26:04</t>
  </si>
  <si>
    <t>01:18:43</t>
  </si>
  <si>
    <t>15:52:07</t>
  </si>
  <si>
    <t>16:56:35</t>
  </si>
  <si>
    <t>01:04:28</t>
  </si>
  <si>
    <t>03:27:40</t>
  </si>
  <si>
    <t>09:53:18</t>
  </si>
  <si>
    <t>12:57:45</t>
  </si>
  <si>
    <t>03:04:27</t>
  </si>
  <si>
    <t>15:45:20</t>
  </si>
  <si>
    <t>17:00:12</t>
  </si>
  <si>
    <t>01:14:52</t>
  </si>
  <si>
    <t>04:19:19</t>
  </si>
  <si>
    <t>10:02:50</t>
  </si>
  <si>
    <t>13:49:28</t>
  </si>
  <si>
    <t>03:46:38</t>
  </si>
  <si>
    <t>09:55:26</t>
  </si>
  <si>
    <t>13:01:00</t>
  </si>
  <si>
    <t>17:31:00</t>
  </si>
  <si>
    <t>04:30:00</t>
  </si>
  <si>
    <t>18:26:00</t>
  </si>
  <si>
    <t>04:39:00</t>
  </si>
  <si>
    <t>13:33:00</t>
  </si>
  <si>
    <t>18:00:00</t>
  </si>
  <si>
    <t>04:27:00</t>
  </si>
  <si>
    <t>07:25:00</t>
  </si>
  <si>
    <t>11:17:00</t>
  </si>
  <si>
    <t>03:52:00</t>
  </si>
  <si>
    <t>11:59:00</t>
  </si>
  <si>
    <t>15:57:00</t>
  </si>
  <si>
    <t>07:31:00</t>
  </si>
  <si>
    <t>12:14:00</t>
  </si>
  <si>
    <t>16:01:00</t>
  </si>
  <si>
    <t>03:47:00</t>
  </si>
  <si>
    <t>07:28:00</t>
  </si>
  <si>
    <t>11:11:00</t>
  </si>
  <si>
    <t>03:43:00</t>
  </si>
  <si>
    <t>07:37:17</t>
  </si>
  <si>
    <t>11:30:11</t>
  </si>
  <si>
    <t>03:52:54</t>
  </si>
  <si>
    <t>12:00:13</t>
  </si>
  <si>
    <t>16:04:28</t>
  </si>
  <si>
    <t>04:04:15</t>
  </si>
  <si>
    <t>11:36:10</t>
  </si>
  <si>
    <t>03:58:53</t>
  </si>
  <si>
    <t>09:57:08</t>
  </si>
  <si>
    <t>14:00:10</t>
  </si>
  <si>
    <t>04:03:02</t>
  </si>
  <si>
    <t>07:33:58</t>
  </si>
  <si>
    <t>11:31:06</t>
  </si>
  <si>
    <t>03:57:08</t>
  </si>
  <si>
    <t>07:39:22</t>
  </si>
  <si>
    <t>11:40:05</t>
  </si>
  <si>
    <t>04:00:43</t>
  </si>
  <si>
    <t>12:00:35</t>
  </si>
  <si>
    <t>16:12:05</t>
  </si>
  <si>
    <t>04:11:30</t>
  </si>
  <si>
    <t>07:37:46</t>
  </si>
  <si>
    <t>11:31:35</t>
  </si>
  <si>
    <t>03:53:49</t>
  </si>
  <si>
    <t>12:09:25</t>
  </si>
  <si>
    <t>16:03:44</t>
  </si>
  <si>
    <t>03:54:19</t>
  </si>
  <si>
    <t>07:35:45</t>
  </si>
  <si>
    <t>11:34:43</t>
  </si>
  <si>
    <t>03:58:58</t>
  </si>
  <si>
    <t>08:30:01</t>
  </si>
  <si>
    <t>11:29:43</t>
  </si>
  <si>
    <t>02:59:42</t>
  </si>
  <si>
    <t>07:41:51</t>
  </si>
  <si>
    <t>13:10:08</t>
  </si>
  <si>
    <t>05:28:17</t>
  </si>
  <si>
    <t>07:28:12</t>
  </si>
  <si>
    <t>13:01:06</t>
  </si>
  <si>
    <t>05:32:54</t>
  </si>
  <si>
    <t>12:00:53</t>
  </si>
  <si>
    <t>16:01:18</t>
  </si>
  <si>
    <t>04:00:25</t>
  </si>
  <si>
    <t>07:27:04</t>
  </si>
  <si>
    <t>11:30:17</t>
  </si>
  <si>
    <t>04:03:13</t>
  </si>
  <si>
    <t>12:59:12</t>
  </si>
  <si>
    <t>14:28:45</t>
  </si>
  <si>
    <t>01:29:33</t>
  </si>
  <si>
    <t>05:32:46</t>
  </si>
  <si>
    <t>09:51:00</t>
  </si>
  <si>
    <t>11:23:00</t>
  </si>
  <si>
    <t>01:32:00</t>
  </si>
  <si>
    <t>12:44:00</t>
  </si>
  <si>
    <t>01:42:00</t>
  </si>
  <si>
    <t>16:31:00</t>
  </si>
  <si>
    <t>04:00:00</t>
  </si>
  <si>
    <t>09:03:00</t>
  </si>
  <si>
    <t>09:55:00</t>
  </si>
  <si>
    <t>00:52:00</t>
  </si>
  <si>
    <t>09:42:00</t>
  </si>
  <si>
    <t>01:38:00</t>
  </si>
  <si>
    <t>11:55:00</t>
  </si>
  <si>
    <t>14:18:00</t>
  </si>
  <si>
    <t>02:23:00</t>
  </si>
  <si>
    <t>15:49:00</t>
  </si>
  <si>
    <t>17:12:00</t>
  </si>
  <si>
    <t>05:24:00</t>
  </si>
  <si>
    <t>09:48:00</t>
  </si>
  <si>
    <t>15:17:00</t>
  </si>
  <si>
    <t>05:29:00</t>
  </si>
  <si>
    <t>12:48:00</t>
  </si>
  <si>
    <t>17:13:00</t>
  </si>
  <si>
    <t>04:25:00</t>
  </si>
  <si>
    <t>10:00:07</t>
  </si>
  <si>
    <t>11:32:01</t>
  </si>
  <si>
    <t>01:31:54</t>
  </si>
  <si>
    <t>12:45:52</t>
  </si>
  <si>
    <t>14:32:00</t>
  </si>
  <si>
    <t>01:46:08</t>
  </si>
  <si>
    <t>15:53:44</t>
  </si>
  <si>
    <t>17:23:06</t>
  </si>
  <si>
    <t>01:29:22</t>
  </si>
  <si>
    <t>04:47:24</t>
  </si>
  <si>
    <t>09:56:02</t>
  </si>
  <si>
    <t>13:03:36</t>
  </si>
  <si>
    <t>03:07:34</t>
  </si>
  <si>
    <t>10:04:37</t>
  </si>
  <si>
    <t>11:26:09</t>
  </si>
  <si>
    <t>01:21:32</t>
  </si>
  <si>
    <t>12:55:13</t>
  </si>
  <si>
    <t>14:32:53</t>
  </si>
  <si>
    <t>01:37:40</t>
  </si>
  <si>
    <t>16:10:24</t>
  </si>
  <si>
    <t>17:25:31</t>
  </si>
  <si>
    <t>01:15:07</t>
  </si>
  <si>
    <t>04:14:19</t>
  </si>
  <si>
    <t>09:55:57</t>
  </si>
  <si>
    <t>11:45:51</t>
  </si>
  <si>
    <t>01:49:54</t>
  </si>
  <si>
    <t>12:55:58</t>
  </si>
  <si>
    <t>17:15:17</t>
  </si>
  <si>
    <t>06:09:13</t>
  </si>
  <si>
    <t>09:54:20</t>
  </si>
  <si>
    <t>11:25:45</t>
  </si>
  <si>
    <t>01:31:25</t>
  </si>
  <si>
    <t>13:02:06</t>
  </si>
  <si>
    <t>17:27:09</t>
  </si>
  <si>
    <t>04:25:03</t>
  </si>
  <si>
    <t>05:56:28</t>
  </si>
  <si>
    <t>09:35:58</t>
  </si>
  <si>
    <t>14:09:59</t>
  </si>
  <si>
    <t>04:34:01</t>
  </si>
  <si>
    <t>09:59:26</t>
  </si>
  <si>
    <t>11:26:11</t>
  </si>
  <si>
    <t>01:26:45</t>
  </si>
  <si>
    <t>13:12:19</t>
  </si>
  <si>
    <t>14:29:19</t>
  </si>
  <si>
    <t>15:50:44</t>
  </si>
  <si>
    <t>17:22:15</t>
  </si>
  <si>
    <t>01:31:31</t>
  </si>
  <si>
    <t>04:15:16</t>
  </si>
  <si>
    <t>09:58:32</t>
  </si>
  <si>
    <t>11:45:57</t>
  </si>
  <si>
    <t>01:47:25</t>
  </si>
  <si>
    <t>12:59:44</t>
  </si>
  <si>
    <t>17:24:59</t>
  </si>
  <si>
    <t>04:25:15</t>
  </si>
  <si>
    <t>06:12:40</t>
  </si>
  <si>
    <t>10:00:01</t>
  </si>
  <si>
    <t>12:56:11</t>
  </si>
  <si>
    <t>02:56:10</t>
  </si>
  <si>
    <t>09:55:02</t>
  </si>
  <si>
    <t>12:59:15</t>
  </si>
  <si>
    <t>14:30:51</t>
  </si>
  <si>
    <t>01:31:36</t>
  </si>
  <si>
    <t>15:44:59</t>
  </si>
  <si>
    <t>17:22:25</t>
  </si>
  <si>
    <t>01:37:26</t>
  </si>
  <si>
    <t>03:09:02</t>
  </si>
  <si>
    <t>09:54:18</t>
  </si>
  <si>
    <t>11:31:48</t>
  </si>
  <si>
    <t>01:37:30</t>
  </si>
  <si>
    <t>12:59:19</t>
  </si>
  <si>
    <t>17:33:38</t>
  </si>
  <si>
    <t>04:34:19</t>
  </si>
  <si>
    <t>06:11:49</t>
  </si>
  <si>
    <t>14:33:47</t>
  </si>
  <si>
    <t>16:51:59</t>
  </si>
  <si>
    <t>02:18:12</t>
  </si>
  <si>
    <t>15:50:00</t>
  </si>
  <si>
    <t>19:50:00</t>
  </si>
  <si>
    <t>10:46:00</t>
  </si>
  <si>
    <t>14:51:00</t>
  </si>
  <si>
    <t>19:52:00</t>
  </si>
  <si>
    <t>15:59:27</t>
  </si>
  <si>
    <t>19:55:17</t>
  </si>
  <si>
    <t>12:01:04</t>
  </si>
  <si>
    <t>17:01:02</t>
  </si>
  <si>
    <t>15:55:09</t>
  </si>
  <si>
    <t>19:59:14</t>
  </si>
  <si>
    <t>10:58:11</t>
  </si>
  <si>
    <t>14:50:28</t>
  </si>
  <si>
    <t>15:37:16</t>
  </si>
  <si>
    <t>16:01:48</t>
  </si>
  <si>
    <t>19:51:12</t>
  </si>
  <si>
    <t>03:49:24</t>
  </si>
  <si>
    <t>16:00:02</t>
  </si>
  <si>
    <t>19:58:16</t>
  </si>
  <si>
    <t>03:58:14</t>
  </si>
  <si>
    <t>11:01:18</t>
  </si>
  <si>
    <t>15:03:09</t>
  </si>
  <si>
    <t>04:01:51</t>
  </si>
  <si>
    <t>16:02:22</t>
  </si>
  <si>
    <t>20:02:51</t>
  </si>
  <si>
    <t>04:00:29</t>
  </si>
  <si>
    <t>11:53:02</t>
  </si>
  <si>
    <t>17:00:41</t>
  </si>
  <si>
    <t>05:07:39</t>
  </si>
  <si>
    <t>16:04:23</t>
  </si>
  <si>
    <t>20:10:23</t>
  </si>
  <si>
    <t>04:06:00</t>
  </si>
  <si>
    <t>15:08:59</t>
  </si>
  <si>
    <t>03:37:53</t>
  </si>
  <si>
    <t>14:50:33</t>
  </si>
  <si>
    <t>20:04:51</t>
  </si>
  <si>
    <t>05:14:18</t>
  </si>
  <si>
    <t>16:11:23</t>
  </si>
  <si>
    <t>20:00:12</t>
  </si>
  <si>
    <t>03:48:49</t>
  </si>
  <si>
    <t>11:56:43</t>
  </si>
  <si>
    <t>05:03:58</t>
  </si>
  <si>
    <t>15:57:36</t>
  </si>
  <si>
    <t xml:space="preserve"> LUIS FERNANDO CASTILLO GARCÍA</t>
  </si>
  <si>
    <t>14:23:00</t>
  </si>
  <si>
    <t>18:32:00</t>
  </si>
  <si>
    <t>04:09:00</t>
  </si>
  <si>
    <t>08:06:00</t>
  </si>
  <si>
    <t>04:08:00</t>
  </si>
  <si>
    <t>18:27:00</t>
  </si>
  <si>
    <t>08:13:00</t>
  </si>
  <si>
    <t>12:13:00</t>
  </si>
  <si>
    <t>08:37:00</t>
  </si>
  <si>
    <t>13:11:00</t>
  </si>
  <si>
    <t>04:34:00</t>
  </si>
  <si>
    <t>14:43:39</t>
  </si>
  <si>
    <t>18:55:53</t>
  </si>
  <si>
    <t>04:12:14</t>
  </si>
  <si>
    <t>08:02:27</t>
  </si>
  <si>
    <t>11:04:30</t>
  </si>
  <si>
    <t>03:02:03</t>
  </si>
  <si>
    <t>12:40:10</t>
  </si>
  <si>
    <t>13:47:27</t>
  </si>
  <si>
    <t>01:07:17</t>
  </si>
  <si>
    <t>04:09:20</t>
  </si>
  <si>
    <t>14:28:44</t>
  </si>
  <si>
    <t>18:31:56</t>
  </si>
  <si>
    <t>04:03:12</t>
  </si>
  <si>
    <t>08:14:45</t>
  </si>
  <si>
    <t>12:22:16</t>
  </si>
  <si>
    <t>04:07:31</t>
  </si>
  <si>
    <t>08:57:03</t>
  </si>
  <si>
    <t>12:57:52</t>
  </si>
  <si>
    <t>04:00:49</t>
  </si>
  <si>
    <t>14:43:14</t>
  </si>
  <si>
    <t>18:47:38</t>
  </si>
  <si>
    <t>04:04:24</t>
  </si>
  <si>
    <t>08:24:09</t>
  </si>
  <si>
    <t>12:28:38</t>
  </si>
  <si>
    <t>04:04:29</t>
  </si>
  <si>
    <t>14:36:14</t>
  </si>
  <si>
    <t>18:45:27</t>
  </si>
  <si>
    <t>04:09:13</t>
  </si>
  <si>
    <t>08:52:14</t>
  </si>
  <si>
    <t>12:53:23</t>
  </si>
  <si>
    <t>04:01:09</t>
  </si>
  <si>
    <t>08:57:43</t>
  </si>
  <si>
    <t>04:02:21</t>
  </si>
  <si>
    <t>08:39:40</t>
  </si>
  <si>
    <t>12:44:12</t>
  </si>
  <si>
    <t>14:39:46</t>
  </si>
  <si>
    <t>18:41:10</t>
  </si>
  <si>
    <t>04:01:24</t>
  </si>
  <si>
    <t>08:51:02</t>
  </si>
  <si>
    <t>12:50:45</t>
  </si>
  <si>
    <t>03:59:43</t>
  </si>
  <si>
    <t>16:39:09</t>
  </si>
  <si>
    <t>20:02:32</t>
  </si>
  <si>
    <t>03:23:23</t>
  </si>
  <si>
    <t>14:44:43</t>
  </si>
  <si>
    <t>18:50:17</t>
  </si>
  <si>
    <t>04:05:34</t>
  </si>
  <si>
    <t>08:30:59</t>
  </si>
  <si>
    <t>12:36:45</t>
  </si>
  <si>
    <t>04:05:46</t>
  </si>
  <si>
    <t>14:42:35</t>
  </si>
  <si>
    <t>18:50:02</t>
  </si>
  <si>
    <t>04:07:27</t>
  </si>
  <si>
    <t>08:47:06</t>
  </si>
  <si>
    <t>17:15:00</t>
  </si>
  <si>
    <t>18:59:00</t>
  </si>
  <si>
    <t>01:44:00</t>
  </si>
  <si>
    <t>07:05:00</t>
  </si>
  <si>
    <t>09:47:00</t>
  </si>
  <si>
    <t>02:42:00</t>
  </si>
  <si>
    <t>10:36:00</t>
  </si>
  <si>
    <t>12:37:00</t>
  </si>
  <si>
    <t>02:01:00</t>
  </si>
  <si>
    <t>15:46:00</t>
  </si>
  <si>
    <t>04:43:00</t>
  </si>
  <si>
    <t>19:51:00</t>
  </si>
  <si>
    <t>04:05:00</t>
  </si>
  <si>
    <t>09:52:00</t>
  </si>
  <si>
    <t>01:31:00</t>
  </si>
  <si>
    <t>18:55:00</t>
  </si>
  <si>
    <t>03:02:00</t>
  </si>
  <si>
    <t>04:33:00</t>
  </si>
  <si>
    <t>10:06:00</t>
  </si>
  <si>
    <t>08:03:00</t>
  </si>
  <si>
    <t>01:14:00</t>
  </si>
  <si>
    <t>15:58:00</t>
  </si>
  <si>
    <t>11:52:00</t>
  </si>
  <si>
    <t>03:49:00</t>
  </si>
  <si>
    <t>03:53:00</t>
  </si>
  <si>
    <t>09:57:00</t>
  </si>
  <si>
    <t>12:19:00</t>
  </si>
  <si>
    <t>02:22:00</t>
  </si>
  <si>
    <t>16:09:00</t>
  </si>
  <si>
    <t>19:12:00</t>
  </si>
  <si>
    <t>05:07:00</t>
  </si>
  <si>
    <t>03:03:00</t>
  </si>
  <si>
    <t>05:25:00</t>
  </si>
  <si>
    <t>13:16:00</t>
  </si>
  <si>
    <t>01:03:00</t>
  </si>
  <si>
    <t>15:59:00</t>
  </si>
  <si>
    <t>04:56:00</t>
  </si>
  <si>
    <t>12:42:00</t>
  </si>
  <si>
    <t>13:55:00</t>
  </si>
  <si>
    <t>20:04:00</t>
  </si>
  <si>
    <t>05:19:00</t>
  </si>
  <si>
    <t>17:07:23</t>
  </si>
  <si>
    <t>18:50:58</t>
  </si>
  <si>
    <t>16:03:49</t>
  </si>
  <si>
    <t>20:06:39</t>
  </si>
  <si>
    <t>08:16:49</t>
  </si>
  <si>
    <t>13:34:17</t>
  </si>
  <si>
    <t>Tiempo justificado</t>
  </si>
  <si>
    <t>09:53:12</t>
  </si>
  <si>
    <t>16:00:06</t>
  </si>
  <si>
    <t>18:56:59</t>
  </si>
  <si>
    <t>02:56:53</t>
  </si>
  <si>
    <t>08:24:02</t>
  </si>
  <si>
    <t>09:00:47</t>
  </si>
  <si>
    <t>02:53:45</t>
  </si>
  <si>
    <t>13:03:23</t>
  </si>
  <si>
    <t>14:00:13</t>
  </si>
  <si>
    <t>00:56:50</t>
  </si>
  <si>
    <t>16:06:55</t>
  </si>
  <si>
    <t>09:54:19</t>
  </si>
  <si>
    <t>11:38:23</t>
  </si>
  <si>
    <t>15:58:35</t>
  </si>
  <si>
    <t>19:02:07</t>
  </si>
  <si>
    <t>03:03:32</t>
  </si>
  <si>
    <t>16:07:30</t>
  </si>
  <si>
    <t>20:06:36</t>
  </si>
  <si>
    <t>17:26:19</t>
  </si>
  <si>
    <t>19:04:08</t>
  </si>
  <si>
    <t>01:37:49</t>
  </si>
  <si>
    <t>16:02:55</t>
  </si>
  <si>
    <t>20:01:18</t>
  </si>
  <si>
    <t>07:30:26</t>
  </si>
  <si>
    <t>09:46:54</t>
  </si>
  <si>
    <t>12:38:39</t>
  </si>
  <si>
    <t>15:02:13</t>
  </si>
  <si>
    <t>02:23:34</t>
  </si>
  <si>
    <t>04:40:02</t>
  </si>
  <si>
    <t>08:28:26</t>
  </si>
  <si>
    <t>12:35:12</t>
  </si>
  <si>
    <t>04:06:46</t>
  </si>
  <si>
    <t>10:00:03</t>
  </si>
  <si>
    <t>11:32:31</t>
  </si>
  <si>
    <t>01:32:28</t>
  </si>
  <si>
    <t>15:59:50</t>
  </si>
  <si>
    <t>19:01:02</t>
  </si>
  <si>
    <t>03:01:12</t>
  </si>
  <si>
    <t>04:33:40</t>
  </si>
  <si>
    <t>15:57:59</t>
  </si>
  <si>
    <t>20:06:56</t>
  </si>
  <si>
    <t>04:08:57</t>
  </si>
  <si>
    <t>16:09:34</t>
  </si>
  <si>
    <t>20:07:31</t>
  </si>
  <si>
    <t>03:57:57</t>
  </si>
  <si>
    <t>07:28:13</t>
  </si>
  <si>
    <t>10:01:58</t>
  </si>
  <si>
    <t>02:33:45</t>
  </si>
  <si>
    <t>11:57:56</t>
  </si>
  <si>
    <t>16:05:54</t>
  </si>
  <si>
    <t>15:01:11</t>
  </si>
  <si>
    <t>20:06:07</t>
  </si>
  <si>
    <t>03:03:15</t>
  </si>
  <si>
    <t>04:00:13</t>
  </si>
  <si>
    <t>05:37:00</t>
  </si>
  <si>
    <t>10:02:13</t>
  </si>
  <si>
    <t>11:29:59</t>
  </si>
  <si>
    <t>01:27:46</t>
  </si>
  <si>
    <t>16:24:12</t>
  </si>
  <si>
    <t>18:54:25</t>
  </si>
  <si>
    <t>02:30:13</t>
  </si>
  <si>
    <t>03:57:59</t>
  </si>
  <si>
    <t>16:02:40</t>
  </si>
  <si>
    <t>20:00:57</t>
  </si>
  <si>
    <t>03:58:17</t>
  </si>
  <si>
    <t>15:39:22</t>
  </si>
  <si>
    <t>20:02:01</t>
  </si>
  <si>
    <t>04:22:39</t>
  </si>
  <si>
    <t>15:59:29</t>
  </si>
  <si>
    <t>20:00:44</t>
  </si>
  <si>
    <t>04:01:15</t>
  </si>
  <si>
    <t>16:05:38</t>
  </si>
  <si>
    <t>10:04:32</t>
  </si>
  <si>
    <t>10:05:47</t>
  </si>
  <si>
    <t>00:01:15</t>
  </si>
  <si>
    <t>17:26:35</t>
  </si>
  <si>
    <t>19:02:49</t>
  </si>
  <si>
    <t>01:36:14</t>
  </si>
  <si>
    <t>20:19:48</t>
  </si>
  <si>
    <t>16:12:52</t>
  </si>
  <si>
    <t>21:00:18</t>
  </si>
  <si>
    <t>00:40:30</t>
  </si>
  <si>
    <t>02:17:59</t>
  </si>
  <si>
    <t>06:53:27</t>
  </si>
  <si>
    <t>09:58:29</t>
  </si>
  <si>
    <t>03:05:02</t>
  </si>
  <si>
    <t>12:55:53</t>
  </si>
  <si>
    <t>14:59:46</t>
  </si>
  <si>
    <t>02:03:53</t>
  </si>
  <si>
    <t>08:53:52</t>
  </si>
  <si>
    <t>05:08:55</t>
  </si>
  <si>
    <t>11:17:09</t>
  </si>
  <si>
    <t>02:23:17</t>
  </si>
  <si>
    <t>16:02:44</t>
  </si>
  <si>
    <t>11:30:45</t>
  </si>
  <si>
    <t>01:33:37</t>
  </si>
  <si>
    <t>15:58:40</t>
  </si>
  <si>
    <t>18:54:11</t>
  </si>
  <si>
    <t>02:55:31</t>
  </si>
  <si>
    <t>04:29:08</t>
  </si>
  <si>
    <t>09:03:22</t>
  </si>
  <si>
    <t>09:32:00</t>
  </si>
  <si>
    <t>13:53:00</t>
  </si>
  <si>
    <t>04:02:00</t>
  </si>
  <si>
    <t>09:25:00</t>
  </si>
  <si>
    <t>14:17:00</t>
  </si>
  <si>
    <t>04:52:00</t>
  </si>
  <si>
    <t>07:04:00</t>
  </si>
  <si>
    <t>11:04:00</t>
  </si>
  <si>
    <t>09:41:00</t>
  </si>
  <si>
    <t>13:51:00</t>
  </si>
  <si>
    <t>04:10:00</t>
  </si>
  <si>
    <t>14:04:28</t>
  </si>
  <si>
    <t>04:18:28</t>
  </si>
  <si>
    <t>09:33:47</t>
  </si>
  <si>
    <t>14:00:24</t>
  </si>
  <si>
    <t>04:26:37</t>
  </si>
  <si>
    <t>09:29:52</t>
  </si>
  <si>
    <t>14:05:56</t>
  </si>
  <si>
    <t>04:36:04</t>
  </si>
  <si>
    <t>06:58:52</t>
  </si>
  <si>
    <t>11:01:50</t>
  </si>
  <si>
    <t>04:02:58</t>
  </si>
  <si>
    <t>09:41:32</t>
  </si>
  <si>
    <t>14:16:53</t>
  </si>
  <si>
    <t>04:35:21</t>
  </si>
  <si>
    <t>09:28:29</t>
  </si>
  <si>
    <t>14:05:30</t>
  </si>
  <si>
    <t>04:37:01</t>
  </si>
  <si>
    <t>09:26:31</t>
  </si>
  <si>
    <t>14:03:11</t>
  </si>
  <si>
    <t>04:36:40</t>
  </si>
  <si>
    <t>10:05:03</t>
  </si>
  <si>
    <t>14:15:13</t>
  </si>
  <si>
    <t>04:10:10</t>
  </si>
  <si>
    <t>09:27:56</t>
  </si>
  <si>
    <t>14:00:02</t>
  </si>
  <si>
    <t>04:32:06</t>
  </si>
  <si>
    <t>09:32:08</t>
  </si>
  <si>
    <t>14:10:13</t>
  </si>
  <si>
    <t>04:38:05</t>
  </si>
  <si>
    <t>09:18:54</t>
  </si>
  <si>
    <t>15:00:04</t>
  </si>
  <si>
    <t>05:41:10</t>
  </si>
  <si>
    <t>09:34:16</t>
  </si>
  <si>
    <t>14:01:13</t>
  </si>
  <si>
    <t>04:26:57</t>
  </si>
  <si>
    <t>09:55:19</t>
  </si>
  <si>
    <t>14:10:53</t>
  </si>
  <si>
    <t>04:15:34</t>
  </si>
  <si>
    <t>14:02:17</t>
  </si>
  <si>
    <t>09:32:17</t>
  </si>
  <si>
    <t>14:03:30</t>
  </si>
  <si>
    <t>04:31:13</t>
  </si>
  <si>
    <t>07:26:42</t>
  </si>
  <si>
    <t>11:29:58</t>
  </si>
  <si>
    <t>04:03:16</t>
  </si>
  <si>
    <t>09:32:45</t>
  </si>
  <si>
    <t>14:01:53</t>
  </si>
  <si>
    <t>09:28:06</t>
  </si>
  <si>
    <t>16:08:42</t>
  </si>
  <si>
    <t>17:50:18</t>
  </si>
  <si>
    <t>12:03:48</t>
  </si>
  <si>
    <t>16:00:57</t>
  </si>
  <si>
    <t>12:14:56</t>
  </si>
  <si>
    <t>14:31:15</t>
  </si>
  <si>
    <t>12:20:44</t>
  </si>
  <si>
    <t>16:21:11</t>
  </si>
  <si>
    <t>12:10:55</t>
  </si>
  <si>
    <t>17:30:43</t>
  </si>
  <si>
    <t>Hora Justificada</t>
  </si>
  <si>
    <t>13:03:00</t>
  </si>
  <si>
    <t>14:43:51</t>
  </si>
  <si>
    <t>01:40:51</t>
  </si>
  <si>
    <t>15:53:29</t>
  </si>
  <si>
    <t>17:30:05</t>
  </si>
  <si>
    <t>01:36:36</t>
  </si>
  <si>
    <t>03:17:27</t>
  </si>
  <si>
    <t>12:10:41</t>
  </si>
  <si>
    <t>16:09:52</t>
  </si>
  <si>
    <t>03:59:11</t>
  </si>
  <si>
    <t>11:54:40</t>
  </si>
  <si>
    <t>14:30:58</t>
  </si>
  <si>
    <t>02:36:18</t>
  </si>
  <si>
    <t>15:56:08</t>
  </si>
  <si>
    <t>17:28:27</t>
  </si>
  <si>
    <t>01:32:19</t>
  </si>
  <si>
    <t>04:08:37</t>
  </si>
  <si>
    <t>12:14:16</t>
  </si>
  <si>
    <t>17:01:01</t>
  </si>
  <si>
    <t>04:46:45</t>
  </si>
  <si>
    <t>11:53:08</t>
  </si>
  <si>
    <t>16:00:07</t>
  </si>
  <si>
    <t>04:06:59</t>
  </si>
  <si>
    <t>11:57:00</t>
  </si>
  <si>
    <t>14:24:18</t>
  </si>
  <si>
    <t>02:27:18</t>
  </si>
  <si>
    <t>15:54:49</t>
  </si>
  <si>
    <t>17:29:32</t>
  </si>
  <si>
    <t>01:34:43</t>
  </si>
  <si>
    <t>04:02:01</t>
  </si>
  <si>
    <t>11:51:53</t>
  </si>
  <si>
    <t>16:05:45</t>
  </si>
  <si>
    <t>04:13:52</t>
  </si>
  <si>
    <t>11:53:59</t>
  </si>
  <si>
    <t>14:23:22</t>
  </si>
  <si>
    <t>02:29:23</t>
  </si>
  <si>
    <t>15:59:52</t>
  </si>
  <si>
    <t>17:29:47</t>
  </si>
  <si>
    <t>01:29:55</t>
  </si>
  <si>
    <t>03:59:18</t>
  </si>
  <si>
    <t>12:10:39</t>
  </si>
  <si>
    <t>14:32:17</t>
  </si>
  <si>
    <t>02:21:38</t>
  </si>
  <si>
    <t>15:55:31</t>
  </si>
  <si>
    <t>17:32:31</t>
  </si>
  <si>
    <t>01:37:00</t>
  </si>
  <si>
    <t>03:58:38</t>
  </si>
  <si>
    <t>16:02:14</t>
  </si>
  <si>
    <t>11:57:25</t>
  </si>
  <si>
    <t>14:31:05</t>
  </si>
  <si>
    <t>02:33:40</t>
  </si>
  <si>
    <t>15:50:17</t>
  </si>
  <si>
    <t>17:31:04</t>
  </si>
  <si>
    <t>01:40:47</t>
  </si>
  <si>
    <t>04:14:27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</si>
</sst>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dd&quot;, &quot;d&quot; de &quot;mmmm&quot; de &quot;yyyy"/>
    <numFmt numFmtId="165" formatCode="H:mm:ss"/>
    <numFmt numFmtId="166" formatCode="yyyy-mm-dd h:mm:ss"/>
    <numFmt numFmtId="167" formatCode="dddd, mmmm d, yyyy"/>
    <numFmt numFmtId="168" formatCode="dddd, mmmm dd, yyyy"/>
    <numFmt numFmtId="169" formatCode="dddd, mmmm d,yyyy"/>
    <numFmt numFmtId="170" formatCode="dddd mmmm d,yyyy"/>
    <numFmt numFmtId="171" formatCode="dddd mmmm,d, yyyy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5B0F00"/>
      <name val="Calibri"/>
    </font>
    <font>
      <b/>
      <sz val="20.0"/>
      <color rgb="FFFFFFFF"/>
      <name val="Calibri"/>
    </font>
    <font/>
    <font>
      <sz val="10.0"/>
      <color theme="1"/>
      <name val="Arial"/>
    </font>
    <font>
      <b/>
      <sz val="11.0"/>
      <color theme="1"/>
      <name val="Roboto Mono"/>
    </font>
    <font>
      <b/>
      <sz val="16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b/>
      <sz val="11.0"/>
      <color theme="1"/>
      <name val="Arial"/>
    </font>
    <font>
      <b/>
      <sz val="13.0"/>
      <color theme="1"/>
      <name val="Calibri"/>
    </font>
    <font>
      <b/>
      <sz val="10.0"/>
      <color rgb="FFFFFFFF"/>
      <name val="Arial"/>
    </font>
    <font>
      <b/>
      <sz val="17.0"/>
      <color theme="1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sz val="11.0"/>
      <color theme="1"/>
      <name val="Arial"/>
    </font>
    <font>
      <b/>
      <u/>
      <sz val="11.0"/>
      <color rgb="FF0000FF"/>
      <name val="Arial"/>
    </font>
    <font>
      <b/>
      <sz val="11.0"/>
      <color rgb="FF274E13"/>
      <name val="Roboto Mono"/>
    </font>
  </fonts>
  <fills count="1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4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980000"/>
      </left>
      <top style="thick">
        <color rgb="FF980000"/>
      </top>
      <bottom style="thick">
        <color rgb="FF98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980000"/>
      </right>
      <top style="thick">
        <color rgb="FF980000"/>
      </top>
      <bottom style="thick">
        <color rgb="FF980000"/>
      </bottom>
    </border>
    <border>
      <left/>
      <right style="thin">
        <color rgb="FF000000"/>
      </right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thin">
        <color rgb="FF000000"/>
      </left>
      <right/>
    </border>
    <border>
      <bottom style="thick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ck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D9D9D9"/>
      </right>
      <top style="medium">
        <color rgb="FF000000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top style="medium">
        <color rgb="FF000000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3" fillId="0" fontId="5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/>
    </xf>
    <xf borderId="6" fillId="0" fontId="4" numFmtId="0" xfId="0" applyBorder="1" applyFont="1"/>
    <xf borderId="7" fillId="4" fontId="6" numFmtId="0" xfId="0" applyAlignment="1" applyBorder="1" applyFill="1" applyFont="1">
      <alignment horizontal="center"/>
    </xf>
    <xf borderId="8" fillId="5" fontId="7" numFmtId="0" xfId="0" applyAlignment="1" applyBorder="1" applyFill="1" applyFont="1">
      <alignment horizontal="center"/>
    </xf>
    <xf borderId="9" fillId="0" fontId="8" numFmtId="0" xfId="0" applyAlignment="1" applyBorder="1" applyFont="1">
      <alignment horizontal="center" shrinkToFit="0" wrapText="1"/>
    </xf>
    <xf borderId="9" fillId="6" fontId="8" numFmtId="0" xfId="0" applyAlignment="1" applyBorder="1" applyFill="1" applyFont="1">
      <alignment horizontal="center" shrinkToFit="0" wrapText="1"/>
    </xf>
    <xf borderId="3" fillId="0" fontId="9" numFmtId="46" xfId="0" applyAlignment="1" applyBorder="1" applyFont="1" applyNumberFormat="1">
      <alignment horizontal="center"/>
    </xf>
    <xf borderId="9" fillId="0" fontId="10" numFmtId="0" xfId="0" applyAlignment="1" applyBorder="1" applyFont="1">
      <alignment shrinkToFit="0" wrapText="1"/>
    </xf>
    <xf borderId="9" fillId="7" fontId="11" numFmtId="0" xfId="0" applyAlignment="1" applyBorder="1" applyFill="1" applyFont="1">
      <alignment horizontal="center"/>
    </xf>
    <xf borderId="3" fillId="8" fontId="12" numFmtId="0" xfId="0" applyAlignment="1" applyBorder="1" applyFill="1" applyFont="1">
      <alignment horizontal="center" vertical="center"/>
    </xf>
    <xf borderId="10" fillId="5" fontId="13" numFmtId="46" xfId="0" applyAlignment="1" applyBorder="1" applyFill="1" applyFont="1" applyNumberFormat="1">
      <alignment horizontal="right"/>
    </xf>
    <xf borderId="10" fillId="5" fontId="13" numFmtId="46" xfId="0" applyAlignment="1" applyBorder="1" applyFill="1" applyFont="1" applyNumberFormat="1">
      <alignment horizontal="center"/>
    </xf>
    <xf borderId="3" fillId="8" fontId="12" numFmtId="0" xfId="0" applyAlignment="1" applyBorder="1" applyFill="1" applyFont="1">
      <alignment horizontal="left" vertical="center"/>
    </xf>
    <xf borderId="7" fillId="9" fontId="11" numFmtId="46" xfId="0" applyAlignment="1" applyBorder="1" applyFill="1" applyFont="1" applyNumberFormat="1">
      <alignment horizontal="center"/>
    </xf>
    <xf borderId="9" fillId="0" fontId="10" numFmtId="0" xfId="0" applyAlignment="1" applyBorder="1" applyFont="1">
      <alignment horizontal="center" shrinkToFit="0" wrapText="1"/>
    </xf>
    <xf borderId="11" fillId="8" fontId="14" numFmtId="0" xfId="0" applyAlignment="1" applyBorder="1" applyFill="1" applyFont="1">
      <alignment horizontal="center" vertical="center"/>
    </xf>
    <xf borderId="12" fillId="7" fontId="15" numFmtId="21" xfId="0" applyAlignment="1" applyBorder="1" applyFill="1" applyFont="1" applyNumberFormat="1">
      <alignment horizontal="center" vertical="center"/>
    </xf>
    <xf borderId="12" fillId="7" fontId="1" numFmtId="21" xfId="0" applyAlignment="1" applyBorder="1" applyFill="1" applyFont="1" applyNumberFormat="1">
      <alignment horizontal="center" vertical="center"/>
    </xf>
    <xf borderId="13" fillId="10" fontId="15" numFmtId="21" xfId="0" applyAlignment="1" applyBorder="1" applyFill="1" applyFont="1" applyNumberFormat="1">
      <alignment horizontal="center" vertical="center"/>
    </xf>
    <xf borderId="7" fillId="0" fontId="8" numFmtId="0" xfId="0" applyAlignment="1" applyBorder="1" applyFont="1">
      <alignment horizontal="center" shrinkToFit="0" wrapText="1"/>
    </xf>
    <xf borderId="13" fillId="10" fontId="1" numFmtId="21" xfId="0" applyAlignment="1" applyBorder="1" applyFill="1" applyFont="1" applyNumberFormat="1">
      <alignment horizontal="center" vertical="center"/>
    </xf>
    <xf borderId="3" fillId="0" fontId="15" numFmtId="46" xfId="0" applyAlignment="1" applyBorder="1" applyFont="1" applyNumberFormat="1">
      <alignment horizontal="center" vertical="center"/>
    </xf>
    <xf borderId="7" fillId="6" fontId="8" numFmtId="0" xfId="0" applyAlignment="1" applyBorder="1" applyFill="1" applyFont="1">
      <alignment horizontal="center" shrinkToFit="0" wrapText="1"/>
    </xf>
    <xf borderId="14" fillId="0" fontId="15" numFmtId="21" xfId="0" applyAlignment="1" applyBorder="1" applyFont="1" applyNumberFormat="1">
      <alignment horizontal="center" vertical="center"/>
    </xf>
    <xf borderId="14" fillId="0" fontId="1" numFmtId="21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shrinkToFit="0" wrapText="1"/>
    </xf>
    <xf borderId="14" fillId="0" fontId="15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8" fontId="14" numFmtId="0" xfId="0" applyAlignment="1" applyBorder="1" applyFill="1" applyFont="1">
      <alignment horizontal="center" vertical="center"/>
    </xf>
    <xf borderId="16" fillId="11" fontId="11" numFmtId="0" xfId="0" applyAlignment="1" applyBorder="1" applyFill="1" applyFont="1">
      <alignment horizontal="center" vertical="center"/>
    </xf>
    <xf borderId="16" fillId="11" fontId="16" numFmtId="0" xfId="0" applyAlignment="1" applyBorder="1" applyFill="1" applyFont="1">
      <alignment horizontal="center" vertical="center"/>
    </xf>
    <xf borderId="3" fillId="0" fontId="17" numFmtId="10" xfId="0" applyAlignment="1" applyBorder="1" applyFont="1" applyNumberFormat="1">
      <alignment horizontal="center"/>
    </xf>
    <xf borderId="17" fillId="0" fontId="17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6" fillId="0" fontId="18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wrapText="1"/>
    </xf>
    <xf borderId="16" fillId="0" fontId="19" numFmtId="0" xfId="0" applyAlignment="1" applyBorder="1" applyFont="1">
      <alignment horizontal="center" vertical="center"/>
    </xf>
    <xf borderId="3" fillId="12" fontId="18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8" fillId="0" fontId="20" numFmtId="164" xfId="0" applyAlignment="1" applyBorder="1" applyFont="1" applyNumberFormat="1">
      <alignment horizontal="center" vertical="bottom"/>
    </xf>
    <xf borderId="12" fillId="7" fontId="1" numFmtId="165" xfId="0" applyAlignment="1" applyBorder="1" applyFill="1" applyFont="1" applyNumberFormat="1">
      <alignment horizontal="center" vertical="center"/>
    </xf>
    <xf borderId="13" fillId="10" fontId="1" numFmtId="165" xfId="0" applyAlignment="1" applyBorder="1" applyFill="1" applyFont="1" applyNumberFormat="1">
      <alignment horizontal="center" vertical="center"/>
    </xf>
    <xf borderId="19" fillId="0" fontId="15" numFmtId="0" xfId="0" applyAlignment="1" applyBorder="1" applyFon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3" fillId="12" fontId="15" numFmtId="46" xfId="0" applyAlignment="1" applyBorder="1" applyFill="1" applyFont="1" applyNumberFormat="1">
      <alignment horizontal="center" vertical="center"/>
    </xf>
    <xf borderId="12" fillId="0" fontId="1" numFmtId="21" xfId="0" applyAlignment="1" applyBorder="1" applyFont="1" applyNumberFormat="1">
      <alignment horizontal="center" vertical="center"/>
    </xf>
    <xf borderId="20" fillId="12" fontId="1" numFmtId="46" xfId="0" applyAlignment="1" applyBorder="1" applyFill="1" applyFont="1" applyNumberFormat="1">
      <alignment horizontal="center" vertical="center"/>
    </xf>
    <xf borderId="21" fillId="7" fontId="15" numFmtId="21" xfId="0" applyAlignment="1" applyBorder="1" applyFill="1" applyFont="1" applyNumberFormat="1">
      <alignment horizontal="center" vertical="center"/>
    </xf>
    <xf borderId="22" fillId="10" fontId="15" numFmtId="21" xfId="0" applyAlignment="1" applyBorder="1" applyFill="1" applyFont="1" applyNumberFormat="1">
      <alignment horizontal="center" vertical="center"/>
    </xf>
    <xf borderId="21" fillId="7" fontId="1" numFmtId="165" xfId="0" applyAlignment="1" applyBorder="1" applyFill="1" applyFont="1" applyNumberFormat="1">
      <alignment horizontal="center" vertical="center"/>
    </xf>
    <xf borderId="23" fillId="0" fontId="15" numFmtId="21" xfId="0" applyAlignment="1" applyBorder="1" applyFont="1" applyNumberFormat="1">
      <alignment horizontal="center" vertical="center"/>
    </xf>
    <xf borderId="22" fillId="10" fontId="1" numFmtId="165" xfId="0" applyAlignment="1" applyBorder="1" applyFill="1" applyFont="1" applyNumberFormat="1">
      <alignment horizontal="center" vertical="center"/>
    </xf>
    <xf borderId="23" fillId="0" fontId="15" numFmtId="0" xfId="0" applyAlignment="1" applyBorder="1" applyFon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4" fillId="0" fontId="15" numFmtId="0" xfId="0" applyAlignment="1" applyBorder="1" applyFont="1">
      <alignment horizontal="center" vertical="center"/>
    </xf>
    <xf borderId="21" fillId="0" fontId="15" numFmtId="0" xfId="0" applyAlignment="1" applyBorder="1" applyFont="1">
      <alignment horizontal="center" vertical="center"/>
    </xf>
    <xf borderId="24" fillId="0" fontId="1" numFmtId="165" xfId="0" applyAlignment="1" applyBorder="1" applyFont="1" applyNumberFormat="1">
      <alignment horizontal="center" vertical="center"/>
    </xf>
    <xf borderId="18" fillId="0" fontId="17" numFmtId="0" xfId="0" applyAlignment="1" applyBorder="1" applyFont="1">
      <alignment horizontal="center"/>
    </xf>
    <xf borderId="21" fillId="0" fontId="1" numFmtId="21" xfId="0" applyAlignment="1" applyBorder="1" applyFont="1" applyNumberFormat="1">
      <alignment horizontal="center" vertical="center"/>
    </xf>
    <xf borderId="18" fillId="0" fontId="1" numFmtId="46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 vertical="center"/>
    </xf>
    <xf borderId="22" fillId="10" fontId="15" numFmtId="166" xfId="0" applyAlignment="1" applyBorder="1" applyFill="1" applyFont="1" applyNumberFormat="1">
      <alignment horizontal="center" vertical="center"/>
    </xf>
    <xf borderId="18" fillId="0" fontId="1" numFmtId="0" xfId="0" applyAlignment="1" applyBorder="1" applyFont="1">
      <alignment horizontal="center"/>
    </xf>
    <xf borderId="23" fillId="0" fontId="15" numFmtId="166" xfId="0" applyAlignment="1" applyBorder="1" applyFont="1" applyNumberFormat="1">
      <alignment horizontal="center" vertical="center"/>
    </xf>
    <xf borderId="25" fillId="7" fontId="17" numFmtId="0" xfId="0" applyAlignment="1" applyBorder="1" applyFill="1" applyFont="1">
      <alignment horizontal="center"/>
    </xf>
    <xf borderId="0" fillId="10" fontId="17" numFmtId="0" xfId="0" applyAlignment="1" applyFill="1" applyFont="1">
      <alignment horizontal="center"/>
    </xf>
    <xf borderId="25" fillId="7" fontId="1" numFmtId="165" xfId="0" applyAlignment="1" applyBorder="1" applyFill="1" applyFont="1" applyNumberFormat="1">
      <alignment horizontal="center"/>
    </xf>
    <xf borderId="26" fillId="0" fontId="17" numFmtId="0" xfId="0" applyAlignment="1" applyBorder="1" applyFont="1">
      <alignment horizontal="center"/>
    </xf>
    <xf borderId="0" fillId="10" fontId="1" numFmtId="165" xfId="0" applyAlignment="1" applyFill="1" applyFont="1" applyNumberFormat="1">
      <alignment horizontal="center"/>
    </xf>
    <xf borderId="25" fillId="0" fontId="17" numFmtId="0" xfId="0" applyAlignment="1" applyBorder="1" applyFont="1">
      <alignment horizontal="center"/>
    </xf>
    <xf borderId="18" fillId="0" fontId="1" numFmtId="165" xfId="0" applyAlignment="1" applyBorder="1" applyFont="1" applyNumberFormat="1">
      <alignment horizontal="center"/>
    </xf>
    <xf borderId="18" fillId="13" fontId="20" numFmtId="164" xfId="0" applyAlignment="1" applyBorder="1" applyFill="1" applyFont="1" applyNumberFormat="1">
      <alignment horizontal="center" vertical="bottom"/>
    </xf>
    <xf borderId="26" fillId="0" fontId="1" numFmtId="165" xfId="0" applyAlignment="1" applyBorder="1" applyFont="1" applyNumberFormat="1">
      <alignment horizontal="center"/>
    </xf>
    <xf borderId="0" fillId="13" fontId="20" numFmtId="164" xfId="0" applyAlignment="1" applyFill="1" applyFont="1" applyNumberFormat="1">
      <alignment horizontal="center" vertical="bottom"/>
    </xf>
    <xf borderId="25" fillId="0" fontId="1" numFmtId="21" xfId="0" applyAlignment="1" applyBorder="1" applyFont="1" applyNumberFormat="1">
      <alignment horizontal="center"/>
    </xf>
    <xf borderId="0" fillId="13" fontId="20" numFmtId="165" xfId="0" applyAlignment="1" applyFill="1" applyFont="1" applyNumberFormat="1">
      <alignment horizontal="center" vertical="bottom"/>
    </xf>
    <xf borderId="27" fillId="13" fontId="20" numFmtId="167" xfId="0" applyAlignment="1" applyBorder="1" applyFill="1" applyFont="1" applyNumberFormat="1">
      <alignment horizontal="center" vertical="bottom"/>
    </xf>
    <xf borderId="18" fillId="13" fontId="20" numFmtId="165" xfId="0" applyAlignment="1" applyBorder="1" applyFill="1" applyFont="1" applyNumberFormat="1">
      <alignment horizontal="center" vertical="bottom"/>
    </xf>
    <xf borderId="28" fillId="13" fontId="20" numFmtId="167" xfId="0" applyAlignment="1" applyBorder="1" applyFill="1" applyFont="1" applyNumberFormat="1">
      <alignment horizontal="center" vertical="bottom"/>
    </xf>
    <xf borderId="29" fillId="13" fontId="20" numFmtId="167" xfId="0" applyAlignment="1" applyBorder="1" applyFill="1" applyFont="1" applyNumberFormat="1">
      <alignment horizontal="center" vertical="bottom"/>
    </xf>
    <xf borderId="25" fillId="0" fontId="1" numFmtId="0" xfId="0" applyAlignment="1" applyBorder="1" applyFont="1">
      <alignment horizontal="center"/>
    </xf>
    <xf borderId="29" fillId="13" fontId="20" numFmtId="165" xfId="0" applyAlignment="1" applyBorder="1" applyFill="1" applyFont="1" applyNumberFormat="1">
      <alignment horizontal="center" vertical="bottom"/>
    </xf>
    <xf borderId="30" fillId="0" fontId="17" numFmtId="0" xfId="0" applyAlignment="1" applyBorder="1" applyFont="1">
      <alignment horizontal="center"/>
    </xf>
    <xf borderId="28" fillId="13" fontId="20" numFmtId="165" xfId="0" applyAlignment="1" applyBorder="1" applyFill="1" applyFont="1" applyNumberFormat="1">
      <alignment horizontal="center" vertical="bottom"/>
    </xf>
    <xf borderId="28" fillId="0" fontId="17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12" fontId="17" numFmtId="165" xfId="0" applyAlignment="1" applyBorder="1" applyFill="1" applyFont="1" applyNumberFormat="1">
      <alignment horizontal="center"/>
    </xf>
    <xf borderId="29" fillId="12" fontId="1" numFmtId="165" xfId="0" applyAlignment="1" applyBorder="1" applyFill="1" applyFont="1" applyNumberFormat="1">
      <alignment horizontal="center"/>
    </xf>
    <xf borderId="7" fillId="0" fontId="10" numFmtId="167" xfId="0" applyAlignment="1" applyBorder="1" applyFont="1" applyNumberFormat="1">
      <alignment horizontal="center" vertical="bottom"/>
    </xf>
    <xf borderId="31" fillId="0" fontId="17" numFmtId="0" xfId="0" applyAlignment="1" applyBorder="1" applyFont="1">
      <alignment horizontal="center"/>
    </xf>
    <xf borderId="7" fillId="0" fontId="10" numFmtId="168" xfId="0" applyAlignment="1" applyBorder="1" applyFont="1" applyNumberFormat="1">
      <alignment horizontal="center" vertical="bottom"/>
    </xf>
    <xf borderId="3" fillId="0" fontId="17" numFmtId="46" xfId="0" applyAlignment="1" applyBorder="1" applyFont="1" applyNumberFormat="1">
      <alignment horizontal="center"/>
    </xf>
    <xf borderId="7" fillId="0" fontId="10" numFmtId="164" xfId="0" applyAlignment="1" applyBorder="1" applyFont="1" applyNumberFormat="1">
      <alignment horizontal="center" shrinkToFit="0" wrapText="1"/>
    </xf>
    <xf borderId="7" fillId="6" fontId="8" numFmtId="167" xfId="0" applyAlignment="1" applyBorder="1" applyFill="1" applyFont="1" applyNumberFormat="1">
      <alignment horizontal="center" vertical="bottom"/>
    </xf>
    <xf borderId="7" fillId="0" fontId="1" numFmtId="0" xfId="0" applyBorder="1" applyFont="1"/>
    <xf borderId="7" fillId="0" fontId="8" numFmtId="0" xfId="0" applyAlignment="1" applyBorder="1" applyFont="1">
      <alignment horizontal="center" shrinkToFit="0" vertical="bottom" wrapText="1"/>
    </xf>
    <xf borderId="7" fillId="0" fontId="10" numFmtId="0" xfId="0" applyAlignment="1" applyBorder="1" applyFont="1">
      <alignment horizontal="center" shrinkToFit="0" vertical="bottom" wrapText="1"/>
    </xf>
    <xf borderId="0" fillId="0" fontId="9" numFmtId="46" xfId="0" applyFont="1" applyNumberFormat="1"/>
    <xf borderId="7" fillId="0" fontId="1" numFmtId="167" xfId="0" applyAlignment="1" applyBorder="1" applyFont="1" applyNumberFormat="1">
      <alignment vertical="bottom"/>
    </xf>
    <xf borderId="12" fillId="0" fontId="1" numFmtId="0" xfId="0" applyAlignment="1" applyBorder="1" applyFont="1">
      <alignment horizontal="center" vertical="center"/>
    </xf>
    <xf borderId="7" fillId="0" fontId="10" numFmtId="169" xfId="0" applyAlignment="1" applyBorder="1" applyFont="1" applyNumberFormat="1">
      <alignment horizontal="center" vertical="bottom"/>
    </xf>
    <xf borderId="0" fillId="6" fontId="8" numFmtId="0" xfId="0" applyAlignment="1" applyFill="1" applyFont="1">
      <alignment horizontal="center" vertical="bottom"/>
    </xf>
    <xf borderId="0" fillId="0" fontId="10" numFmtId="167" xfId="0" applyAlignment="1" applyFont="1" applyNumberFormat="1">
      <alignment horizontal="center" vertical="bottom"/>
    </xf>
    <xf borderId="0" fillId="0" fontId="10" numFmtId="0" xfId="0" applyAlignment="1" applyFont="1">
      <alignment horizontal="center" shrinkToFit="0" wrapText="1"/>
    </xf>
    <xf borderId="32" fillId="0" fontId="10" numFmtId="0" xfId="0" applyAlignment="1" applyBorder="1" applyFont="1">
      <alignment horizontal="center" shrinkToFit="0" wrapText="1"/>
    </xf>
    <xf borderId="7" fillId="6" fontId="8" numFmtId="0" xfId="0" applyAlignment="1" applyBorder="1" applyFill="1" applyFont="1">
      <alignment horizontal="center" vertical="bottom"/>
    </xf>
    <xf borderId="21" fillId="0" fontId="1" numFmtId="21" xfId="0" applyAlignment="1" applyBorder="1" applyFont="1" applyNumberFormat="1">
      <alignment horizontal="center" readingOrder="0" vertical="center"/>
    </xf>
    <xf borderId="7" fillId="0" fontId="10" numFmtId="0" xfId="0" applyAlignment="1" applyBorder="1" applyFont="1">
      <alignment horizontal="center" vertical="bottom"/>
    </xf>
    <xf borderId="7" fillId="0" fontId="10" numFmtId="170" xfId="0" applyAlignment="1" applyBorder="1" applyFont="1" applyNumberFormat="1">
      <alignment horizontal="center" vertical="bottom"/>
    </xf>
    <xf borderId="33" fillId="0" fontId="8" numFmtId="0" xfId="0" applyAlignment="1" applyBorder="1" applyFont="1">
      <alignment horizontal="center" shrinkToFit="0" wrapText="1"/>
    </xf>
    <xf borderId="22" fillId="10" fontId="1" numFmtId="165" xfId="0" applyAlignment="1" applyBorder="1" applyFill="1" applyFont="1" applyNumberFormat="1">
      <alignment horizontal="center" readingOrder="0" vertical="center"/>
    </xf>
    <xf borderId="7" fillId="0" fontId="10" numFmtId="171" xfId="0" applyAlignment="1" applyBorder="1" applyFont="1" applyNumberFormat="1">
      <alignment horizontal="center" vertical="bottom"/>
    </xf>
    <xf borderId="7" fillId="0" fontId="21" numFmtId="0" xfId="0" applyAlignment="1" applyBorder="1" applyFont="1">
      <alignment horizontal="center" shrinkToFit="0" wrapText="1"/>
    </xf>
    <xf borderId="7" fillId="7" fontId="11" numFmtId="46" xfId="0" applyAlignment="1" applyBorder="1" applyFill="1" applyFont="1" applyNumberFormat="1">
      <alignment horizontal="center"/>
    </xf>
    <xf borderId="7" fillId="14" fontId="22" numFmtId="0" xfId="0" applyAlignment="1" applyBorder="1" applyFill="1" applyFont="1">
      <alignment horizontal="center"/>
    </xf>
    <xf borderId="0" fillId="0" fontId="17" numFmtId="0" xfId="0" applyAlignment="1" applyFont="1">
      <alignment horizontal="center"/>
    </xf>
    <xf borderId="15" fillId="8" fontId="14" numFmtId="165" xfId="0" applyAlignment="1" applyBorder="1" applyFill="1" applyFont="1" applyNumberFormat="1">
      <alignment horizontal="center" vertical="center"/>
    </xf>
    <xf borderId="3" fillId="12" fontId="18" numFmtId="46" xfId="0" applyAlignment="1" applyBorder="1" applyFill="1" applyFont="1" applyNumberFormat="1">
      <alignment horizontal="center" vertical="center"/>
    </xf>
    <xf borderId="3" fillId="12" fontId="1" numFmtId="46" xfId="0" applyAlignment="1" applyBorder="1" applyFill="1" applyFont="1" applyNumberFormat="1">
      <alignment horizontal="center" vertical="center"/>
    </xf>
    <xf borderId="29" fillId="12" fontId="1" numFmtId="46" xfId="0" applyAlignment="1" applyBorder="1" applyFill="1" applyFont="1" applyNumberFormat="1">
      <alignment horizontal="center"/>
    </xf>
    <xf borderId="31" fillId="0" fontId="17" numFmtId="46" xfId="0" applyAlignment="1" applyBorder="1" applyFont="1" applyNumberFormat="1">
      <alignment horizontal="center"/>
    </xf>
    <xf borderId="18" fillId="0" fontId="17" numFmtId="46" xfId="0" applyAlignment="1" applyBorder="1" applyFont="1" applyNumberFormat="1">
      <alignment horizontal="center"/>
    </xf>
    <xf borderId="29" fillId="12" fontId="17" numFmtId="46" xfId="0" applyAlignment="1" applyBorder="1" applyFill="1" applyFont="1" applyNumberFormat="1">
      <alignment horizontal="center"/>
    </xf>
    <xf borderId="19" fillId="0" fontId="1" numFmtId="0" xfId="0" applyAlignment="1" applyBorder="1" applyFont="1">
      <alignment horizontal="center" vertical="center"/>
    </xf>
    <xf borderId="21" fillId="7" fontId="1" numFmtId="21" xfId="0" applyAlignment="1" applyBorder="1" applyFill="1" applyFont="1" applyNumberFormat="1">
      <alignment horizontal="center" vertical="center"/>
    </xf>
    <xf borderId="22" fillId="10" fontId="1" numFmtId="21" xfId="0" applyAlignment="1" applyBorder="1" applyFill="1" applyFont="1" applyNumberFormat="1">
      <alignment horizontal="center" vertical="center"/>
    </xf>
    <xf borderId="23" fillId="0" fontId="1" numFmtId="2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2" fillId="10" fontId="1" numFmtId="166" xfId="0" applyAlignment="1" applyBorder="1" applyFill="1" applyFont="1" applyNumberFormat="1">
      <alignment horizontal="center" vertical="center"/>
    </xf>
    <xf borderId="23" fillId="0" fontId="1" numFmtId="166" xfId="0" applyAlignment="1" applyBorder="1" applyFont="1" applyNumberFormat="1">
      <alignment horizontal="center" vertical="center"/>
    </xf>
    <xf borderId="25" fillId="7" fontId="1" numFmtId="0" xfId="0" applyAlignment="1" applyBorder="1" applyFill="1" applyFont="1">
      <alignment horizontal="center"/>
    </xf>
    <xf borderId="0" fillId="10" fontId="1" numFmtId="0" xfId="0" applyAlignment="1" applyFill="1" applyFont="1">
      <alignment horizontal="center"/>
    </xf>
    <xf borderId="26" fillId="0" fontId="1" numFmtId="0" xfId="0" applyAlignment="1" applyBorder="1" applyFont="1">
      <alignment horizontal="center"/>
    </xf>
    <xf borderId="31" fillId="0" fontId="1" numFmtId="46" xfId="0" applyAlignment="1" applyBorder="1" applyFont="1" applyNumberFormat="1">
      <alignment horizontal="center"/>
    </xf>
    <xf borderId="22" fillId="10" fontId="1" numFmtId="0" xfId="0" applyAlignment="1" applyBorder="1" applyFill="1" applyFont="1">
      <alignment horizontal="center" vertical="center"/>
    </xf>
    <xf borderId="0" fillId="10" fontId="1" numFmtId="21" xfId="0" applyAlignment="1" applyFill="1" applyFont="1" applyNumberFormat="1">
      <alignment horizontal="center"/>
    </xf>
    <xf borderId="14" fillId="0" fontId="1" numFmtId="46" xfId="0" applyAlignment="1" applyBorder="1" applyFont="1" applyNumberFormat="1">
      <alignment horizontal="center" vertical="center"/>
    </xf>
    <xf borderId="23" fillId="0" fontId="1" numFmtId="46" xfId="0" applyAlignment="1" applyBorder="1" applyFont="1" applyNumberFormat="1">
      <alignment horizontal="center" vertical="center"/>
    </xf>
    <xf borderId="24" fillId="0" fontId="1" numFmtId="46" xfId="0" applyAlignment="1" applyBorder="1" applyFont="1" applyNumberFormat="1">
      <alignment horizontal="center" vertical="center"/>
    </xf>
    <xf borderId="24" fillId="0" fontId="1" numFmtId="21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/>
    </xf>
    <xf borderId="0" fillId="0" fontId="1" numFmtId="46" xfId="0" applyAlignment="1" applyFont="1" applyNumberFormat="1">
      <alignment horizontal="center"/>
    </xf>
    <xf borderId="31" fillId="0" fontId="1" numFmtId="0" xfId="0" applyAlignment="1" applyBorder="1" applyFont="1">
      <alignment horizontal="center"/>
    </xf>
    <xf borderId="34" fillId="7" fontId="1" numFmtId="21" xfId="0" applyAlignment="1" applyBorder="1" applyFill="1" applyFont="1" applyNumberFormat="1">
      <alignment horizontal="center" vertical="center"/>
    </xf>
    <xf borderId="0" fillId="7" fontId="1" numFmtId="21" xfId="0" applyAlignment="1" applyFill="1" applyFont="1" applyNumberFormat="1">
      <alignment horizontal="center" vertical="center"/>
    </xf>
    <xf borderId="35" fillId="10" fontId="1" numFmtId="21" xfId="0" applyAlignment="1" applyBorder="1" applyFill="1" applyFont="1" applyNumberFormat="1">
      <alignment horizontal="center" vertical="center"/>
    </xf>
    <xf borderId="36" fillId="7" fontId="1" numFmtId="21" xfId="0" applyAlignment="1" applyBorder="1" applyFill="1" applyFont="1" applyNumberForma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1" numFmtId="165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26" fillId="0" fontId="1" numFmtId="165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vertical="center"/>
    </xf>
    <xf borderId="26" fillId="13" fontId="20" numFmtId="164" xfId="0" applyAlignment="1" applyBorder="1" applyFill="1" applyFont="1" applyNumberFormat="1">
      <alignment horizontal="center" vertical="bottom"/>
    </xf>
    <xf borderId="25" fillId="7" fontId="1" numFmtId="21" xfId="0" applyAlignment="1" applyBorder="1" applyFill="1" applyFont="1" applyNumberFormat="1">
      <alignment horizontal="center"/>
    </xf>
    <xf borderId="18" fillId="0" fontId="1" numFmtId="21" xfId="0" applyAlignment="1" applyBorder="1" applyFont="1" applyNumberFormat="1">
      <alignment horizontal="center"/>
    </xf>
    <xf borderId="26" fillId="0" fontId="1" numFmtId="2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mina.gh27outlook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3.14"/>
    <col customWidth="1" min="5" max="5" width="18.43"/>
    <col customWidth="1" min="6" max="6" width="48.43"/>
    <col customWidth="1" min="7" max="7" width="36.86"/>
    <col customWidth="1" min="8" max="8" width="28.14"/>
    <col customWidth="1" min="9" max="9" width="32.43"/>
    <col customWidth="1" min="10" max="10" width="29.57"/>
    <col customWidth="1" min="12" max="12" width="30.86"/>
    <col customWidth="1" min="13" max="13" width="39.43"/>
    <col customWidth="1" min="14" max="14" width="19.43"/>
  </cols>
  <sheetData>
    <row r="1">
      <c r="A1" s="1"/>
      <c r="B1" s="1"/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</row>
    <row r="2">
      <c r="A2" s="1"/>
      <c r="B2" s="1"/>
      <c r="C2" s="8" t="s">
        <v>14</v>
      </c>
      <c r="D2" s="10" t="s">
        <v>16</v>
      </c>
      <c r="E2" s="11">
        <v>2.173003008E9</v>
      </c>
      <c r="F2" s="13" t="s">
        <v>17</v>
      </c>
      <c r="G2" s="14">
        <v>0.0</v>
      </c>
      <c r="H2" s="19">
        <f>RESUMEN_GENERAL!$H$2-G2</f>
        <v>20</v>
      </c>
      <c r="I2" s="20" t="s">
        <v>20</v>
      </c>
      <c r="J2" s="20" t="s">
        <v>22</v>
      </c>
      <c r="K2" s="20" t="s">
        <v>23</v>
      </c>
      <c r="L2" s="20" t="s">
        <v>24</v>
      </c>
      <c r="M2" s="20" t="s">
        <v>25</v>
      </c>
      <c r="N2" s="20">
        <v>2.227227875E9</v>
      </c>
    </row>
    <row r="3">
      <c r="A3" s="1"/>
      <c r="B3" s="1"/>
      <c r="C3" s="8" t="s">
        <v>14</v>
      </c>
      <c r="D3" s="25" t="s">
        <v>16</v>
      </c>
      <c r="E3" s="28">
        <v>2.202001912E9</v>
      </c>
      <c r="F3" s="31" t="s">
        <v>29</v>
      </c>
      <c r="G3" s="14">
        <v>0.0</v>
      </c>
      <c r="H3" s="19">
        <f>RESUMEN_GENERAL!$H$2-G3</f>
        <v>20</v>
      </c>
      <c r="I3" s="41" t="s">
        <v>38</v>
      </c>
      <c r="J3" s="41" t="s">
        <v>39</v>
      </c>
      <c r="K3" s="41" t="s">
        <v>40</v>
      </c>
      <c r="L3" s="41" t="s">
        <v>41</v>
      </c>
      <c r="M3" s="41" t="s">
        <v>42</v>
      </c>
      <c r="N3" s="41">
        <v>7.351433905E9</v>
      </c>
    </row>
    <row r="4">
      <c r="A4" s="1"/>
      <c r="B4" s="1"/>
      <c r="C4" s="8" t="s">
        <v>14</v>
      </c>
      <c r="D4" s="25" t="s">
        <v>44</v>
      </c>
      <c r="E4" s="28">
        <v>2.182003623E9</v>
      </c>
      <c r="F4" s="31" t="s">
        <v>45</v>
      </c>
      <c r="G4" s="14">
        <v>0.0</v>
      </c>
      <c r="H4" s="19">
        <f>RESUMEN_GENERAL!$H$2-G4</f>
        <v>20</v>
      </c>
      <c r="I4" s="41" t="s">
        <v>47</v>
      </c>
      <c r="J4" s="41" t="s">
        <v>48</v>
      </c>
      <c r="K4" s="41" t="s">
        <v>40</v>
      </c>
      <c r="L4" s="41" t="s">
        <v>49</v>
      </c>
      <c r="M4" s="41" t="s">
        <v>50</v>
      </c>
      <c r="N4" s="41">
        <v>5.539879408E9</v>
      </c>
    </row>
    <row r="5">
      <c r="A5" s="1"/>
      <c r="B5" s="1"/>
      <c r="C5" s="8" t="s">
        <v>14</v>
      </c>
      <c r="D5" s="25" t="s">
        <v>54</v>
      </c>
      <c r="E5" s="28">
        <v>2.203000455E9</v>
      </c>
      <c r="F5" s="31" t="s">
        <v>55</v>
      </c>
      <c r="G5" s="14">
        <v>0.0</v>
      </c>
      <c r="H5" s="19">
        <f>RESUMEN_GENERAL!$H$2-G5</f>
        <v>20</v>
      </c>
      <c r="I5" s="41" t="s">
        <v>57</v>
      </c>
      <c r="J5" s="41" t="s">
        <v>58</v>
      </c>
      <c r="K5" s="41" t="s">
        <v>40</v>
      </c>
      <c r="L5" s="41" t="s">
        <v>59</v>
      </c>
      <c r="M5" s="41" t="s">
        <v>60</v>
      </c>
      <c r="N5" s="41">
        <v>5.545900509E9</v>
      </c>
    </row>
    <row r="6">
      <c r="A6" s="1"/>
      <c r="B6" s="1"/>
      <c r="C6" s="8" t="s">
        <v>14</v>
      </c>
      <c r="D6" s="25" t="s">
        <v>54</v>
      </c>
      <c r="E6" s="28">
        <v>2.192001962E9</v>
      </c>
      <c r="F6" s="31" t="s">
        <v>61</v>
      </c>
      <c r="G6" s="14">
        <v>0.0</v>
      </c>
      <c r="H6" s="19">
        <f>RESUMEN_GENERAL!$H$2-G6</f>
        <v>20</v>
      </c>
      <c r="I6" s="41" t="s">
        <v>64</v>
      </c>
      <c r="J6" s="41" t="s">
        <v>65</v>
      </c>
      <c r="K6" s="41" t="s">
        <v>40</v>
      </c>
      <c r="L6" s="41" t="s">
        <v>66</v>
      </c>
      <c r="M6" s="41" t="s">
        <v>68</v>
      </c>
      <c r="N6" s="41">
        <v>5.580032677E9</v>
      </c>
    </row>
    <row r="7">
      <c r="A7" s="1"/>
      <c r="B7" s="1"/>
      <c r="C7" s="8" t="s">
        <v>14</v>
      </c>
      <c r="D7" s="25" t="s">
        <v>16</v>
      </c>
      <c r="E7" s="28">
        <v>2.19304421E9</v>
      </c>
      <c r="F7" s="31" t="s">
        <v>70</v>
      </c>
      <c r="G7" s="14">
        <v>0.0</v>
      </c>
      <c r="H7" s="19">
        <f>RESUMEN_GENERAL!$H$2-G7</f>
        <v>20</v>
      </c>
      <c r="I7" s="41" t="s">
        <v>71</v>
      </c>
      <c r="J7" s="41" t="s">
        <v>72</v>
      </c>
      <c r="K7" s="41" t="s">
        <v>40</v>
      </c>
      <c r="L7" s="41" t="s">
        <v>73</v>
      </c>
      <c r="M7" s="41" t="s">
        <v>73</v>
      </c>
      <c r="N7" s="41">
        <v>9.531439483E9</v>
      </c>
    </row>
    <row r="8">
      <c r="A8" s="1"/>
      <c r="B8" s="1"/>
      <c r="C8" s="8" t="s">
        <v>14</v>
      </c>
      <c r="D8" s="25" t="s">
        <v>74</v>
      </c>
      <c r="E8" s="28">
        <v>2.173074678E9</v>
      </c>
      <c r="F8" s="31" t="s">
        <v>75</v>
      </c>
      <c r="G8" s="14">
        <v>0.0</v>
      </c>
      <c r="H8" s="19">
        <f>RESUMEN_GENERAL!$H$2-G8</f>
        <v>20</v>
      </c>
      <c r="I8" s="41" t="s">
        <v>80</v>
      </c>
      <c r="J8" s="41" t="s">
        <v>81</v>
      </c>
      <c r="K8" s="41" t="s">
        <v>82</v>
      </c>
      <c r="L8" s="41" t="s">
        <v>83</v>
      </c>
      <c r="M8" s="41" t="s">
        <v>84</v>
      </c>
      <c r="N8" s="41">
        <v>5.57712774E9</v>
      </c>
    </row>
    <row r="9">
      <c r="A9" s="1"/>
      <c r="B9" s="1"/>
      <c r="C9" s="8" t="s">
        <v>14</v>
      </c>
      <c r="D9" s="25" t="s">
        <v>85</v>
      </c>
      <c r="E9" s="28">
        <v>2.182003972E9</v>
      </c>
      <c r="F9" s="31" t="s">
        <v>86</v>
      </c>
      <c r="G9" s="14">
        <v>0.0</v>
      </c>
      <c r="H9" s="19">
        <f>RESUMEN_GENERAL!$H$2-G9</f>
        <v>20</v>
      </c>
      <c r="I9" s="41" t="s">
        <v>80</v>
      </c>
      <c r="J9" s="41" t="s">
        <v>81</v>
      </c>
      <c r="K9" s="41" t="s">
        <v>82</v>
      </c>
      <c r="L9" s="41" t="s">
        <v>91</v>
      </c>
      <c r="M9" s="41" t="s">
        <v>92</v>
      </c>
      <c r="N9" s="41">
        <v>5.575541011E9</v>
      </c>
    </row>
    <row r="10">
      <c r="A10" s="1"/>
      <c r="B10" s="1"/>
      <c r="C10" s="8" t="s">
        <v>14</v>
      </c>
      <c r="D10" s="25" t="s">
        <v>85</v>
      </c>
      <c r="E10" s="28">
        <v>2.203033945E9</v>
      </c>
      <c r="F10" s="31" t="s">
        <v>94</v>
      </c>
      <c r="G10" s="14">
        <v>0.0</v>
      </c>
      <c r="H10" s="19">
        <f>RESUMEN_GENERAL!$H$2-G10</f>
        <v>20</v>
      </c>
      <c r="I10" s="41" t="s">
        <v>80</v>
      </c>
      <c r="J10" s="41" t="s">
        <v>81</v>
      </c>
      <c r="K10" s="41" t="s">
        <v>82</v>
      </c>
      <c r="L10" s="41" t="s">
        <v>97</v>
      </c>
      <c r="M10" s="41" t="s">
        <v>99</v>
      </c>
      <c r="N10" s="41">
        <v>5.573451007E9</v>
      </c>
    </row>
    <row r="11">
      <c r="A11" s="1"/>
      <c r="B11" s="1"/>
      <c r="C11" s="8" t="s">
        <v>14</v>
      </c>
      <c r="D11" s="25" t="s">
        <v>85</v>
      </c>
      <c r="E11" s="28">
        <v>2.203033945E9</v>
      </c>
      <c r="F11" s="31" t="s">
        <v>100</v>
      </c>
      <c r="G11" s="14">
        <v>0.0</v>
      </c>
      <c r="H11" s="19">
        <f>RESUMEN_GENERAL!$H$2-G11</f>
        <v>20</v>
      </c>
      <c r="I11" s="41" t="s">
        <v>101</v>
      </c>
      <c r="J11" s="41" t="s">
        <v>102</v>
      </c>
      <c r="K11" s="41" t="s">
        <v>82</v>
      </c>
      <c r="L11" s="41" t="s">
        <v>97</v>
      </c>
      <c r="M11" s="41" t="s">
        <v>103</v>
      </c>
      <c r="N11" s="41">
        <v>7.444630468E9</v>
      </c>
    </row>
    <row r="12">
      <c r="A12" s="1"/>
      <c r="B12" s="1"/>
      <c r="C12" s="8" t="s">
        <v>14</v>
      </c>
      <c r="D12" s="25" t="s">
        <v>44</v>
      </c>
      <c r="E12" s="28">
        <v>2.143002726E9</v>
      </c>
      <c r="F12" s="31" t="s">
        <v>104</v>
      </c>
      <c r="G12" s="14">
        <v>0.0</v>
      </c>
      <c r="H12" s="19">
        <f>RESUMEN_GENERAL!$H$2-G12</f>
        <v>20</v>
      </c>
      <c r="I12" s="41" t="s">
        <v>106</v>
      </c>
      <c r="J12" s="41" t="s">
        <v>107</v>
      </c>
      <c r="K12" s="41" t="s">
        <v>82</v>
      </c>
      <c r="L12" s="41" t="s">
        <v>108</v>
      </c>
      <c r="M12" s="41" t="s">
        <v>109</v>
      </c>
      <c r="N12" s="41">
        <v>5.539345646E9</v>
      </c>
    </row>
    <row r="13">
      <c r="A13" s="1"/>
      <c r="B13" s="1"/>
      <c r="C13" s="8" t="s">
        <v>14</v>
      </c>
      <c r="D13" s="25" t="s">
        <v>85</v>
      </c>
      <c r="E13" s="28">
        <v>2.173039268E9</v>
      </c>
      <c r="F13" s="31" t="s">
        <v>110</v>
      </c>
      <c r="G13" s="14">
        <v>0.0</v>
      </c>
      <c r="H13" s="19">
        <f>RESUMEN_GENERAL!$H$2-G13</f>
        <v>20</v>
      </c>
      <c r="I13" s="41" t="s">
        <v>106</v>
      </c>
      <c r="J13" s="41" t="s">
        <v>107</v>
      </c>
      <c r="K13" s="41" t="s">
        <v>82</v>
      </c>
      <c r="L13" s="41" t="s">
        <v>111</v>
      </c>
      <c r="M13" s="41" t="s">
        <v>112</v>
      </c>
      <c r="N13" s="41">
        <v>7.441650621E9</v>
      </c>
    </row>
    <row r="14">
      <c r="A14" s="1"/>
      <c r="B14" s="1"/>
      <c r="C14" s="8" t="s">
        <v>14</v>
      </c>
      <c r="D14" s="25" t="s">
        <v>85</v>
      </c>
      <c r="E14" s="28">
        <v>2.193040721E9</v>
      </c>
      <c r="F14" s="31" t="s">
        <v>113</v>
      </c>
      <c r="G14" s="14">
        <v>0.0</v>
      </c>
      <c r="H14" s="19">
        <f>RESUMEN_GENERAL!$H$2-G14</f>
        <v>20</v>
      </c>
      <c r="I14" s="41" t="s">
        <v>106</v>
      </c>
      <c r="J14" s="41" t="s">
        <v>107</v>
      </c>
      <c r="K14" s="41" t="s">
        <v>82</v>
      </c>
      <c r="L14" s="41" t="s">
        <v>115</v>
      </c>
      <c r="M14" s="41" t="s">
        <v>116</v>
      </c>
      <c r="N14" s="41">
        <v>5.62621454E9</v>
      </c>
    </row>
    <row r="15">
      <c r="A15" s="1"/>
      <c r="B15" s="1"/>
      <c r="C15" s="8" t="s">
        <v>14</v>
      </c>
      <c r="D15" s="25" t="s">
        <v>74</v>
      </c>
      <c r="E15" s="28">
        <v>2.193040909E9</v>
      </c>
      <c r="F15" s="31" t="s">
        <v>117</v>
      </c>
      <c r="G15" s="14">
        <v>0.0</v>
      </c>
      <c r="H15" s="19">
        <f>RESUMEN_GENERAL!$H$2-G15</f>
        <v>20</v>
      </c>
      <c r="I15" s="97">
        <v>45609.0</v>
      </c>
      <c r="J15" s="99">
        <v>45811.0</v>
      </c>
      <c r="K15" s="41" t="s">
        <v>82</v>
      </c>
      <c r="L15" s="41" t="s">
        <v>119</v>
      </c>
      <c r="M15" s="41" t="s">
        <v>121</v>
      </c>
      <c r="N15" s="41">
        <v>5.58688087E9</v>
      </c>
    </row>
    <row r="16">
      <c r="A16" s="1"/>
      <c r="B16" s="1"/>
      <c r="C16" s="8" t="s">
        <v>14</v>
      </c>
      <c r="D16" s="25" t="s">
        <v>124</v>
      </c>
      <c r="E16" s="28">
        <v>2.193003595E9</v>
      </c>
      <c r="F16" s="31" t="s">
        <v>125</v>
      </c>
      <c r="G16" s="14">
        <v>0.0</v>
      </c>
      <c r="H16" s="19">
        <f>RESUMEN_GENERAL!$H$2-G16</f>
        <v>20</v>
      </c>
      <c r="I16" s="101">
        <v>45673.0</v>
      </c>
      <c r="J16" s="101">
        <v>45854.0</v>
      </c>
      <c r="K16" s="41" t="s">
        <v>82</v>
      </c>
      <c r="L16" s="41" t="s">
        <v>131</v>
      </c>
      <c r="M16" s="41" t="s">
        <v>132</v>
      </c>
      <c r="N16" s="41">
        <v>5.575155348E9</v>
      </c>
    </row>
    <row r="17">
      <c r="A17" s="1"/>
      <c r="B17" s="1"/>
      <c r="C17" s="8" t="s">
        <v>14</v>
      </c>
      <c r="D17" s="25" t="s">
        <v>44</v>
      </c>
      <c r="E17" s="102" t="s">
        <v>133</v>
      </c>
      <c r="F17" s="31" t="s">
        <v>134</v>
      </c>
      <c r="G17" s="14">
        <v>0.0</v>
      </c>
      <c r="H17" s="19">
        <f>RESUMEN_GENERAL!$H$2-G17</f>
        <v>20</v>
      </c>
      <c r="I17" s="97">
        <v>45684.0</v>
      </c>
      <c r="J17" s="97">
        <v>45891.0</v>
      </c>
      <c r="K17" s="41" t="s">
        <v>141</v>
      </c>
      <c r="L17" s="41" t="s">
        <v>142</v>
      </c>
      <c r="M17" s="103"/>
      <c r="N17" s="41">
        <v>5.619313139E9</v>
      </c>
    </row>
    <row r="18">
      <c r="A18" s="1"/>
      <c r="B18" s="1"/>
      <c r="C18" s="8" t="s">
        <v>14</v>
      </c>
      <c r="D18" s="25" t="s">
        <v>74</v>
      </c>
      <c r="E18" s="102" t="s">
        <v>133</v>
      </c>
      <c r="F18" s="31" t="s">
        <v>147</v>
      </c>
      <c r="G18" s="14">
        <v>0.0</v>
      </c>
      <c r="H18" s="19">
        <f>RESUMEN_GENERAL!$H$2-G18</f>
        <v>20</v>
      </c>
      <c r="I18" s="97">
        <v>45742.0</v>
      </c>
      <c r="J18" s="97">
        <v>45954.0</v>
      </c>
      <c r="K18" s="41" t="s">
        <v>141</v>
      </c>
      <c r="L18" s="41" t="s">
        <v>151</v>
      </c>
      <c r="M18" s="103"/>
      <c r="N18" s="41">
        <v>5.562051863E9</v>
      </c>
    </row>
    <row r="19">
      <c r="A19" s="1"/>
      <c r="B19" s="1"/>
      <c r="C19" s="8" t="s">
        <v>14</v>
      </c>
      <c r="D19" s="104" t="s">
        <v>16</v>
      </c>
      <c r="E19" s="102" t="s">
        <v>133</v>
      </c>
      <c r="F19" s="31" t="s">
        <v>153</v>
      </c>
      <c r="G19" s="14">
        <v>0.0</v>
      </c>
      <c r="H19" s="19">
        <f>RESUMEN_GENERAL!$H$2-G19</f>
        <v>20</v>
      </c>
      <c r="I19" s="97">
        <v>45742.0</v>
      </c>
      <c r="J19" s="97">
        <v>45954.0</v>
      </c>
      <c r="K19" s="105" t="s">
        <v>141</v>
      </c>
      <c r="L19" s="105" t="s">
        <v>154</v>
      </c>
      <c r="M19" s="103"/>
      <c r="N19" s="41">
        <v>5.545500269E9</v>
      </c>
    </row>
    <row r="20">
      <c r="A20" s="1"/>
      <c r="B20" s="1"/>
      <c r="C20" s="8" t="s">
        <v>14</v>
      </c>
      <c r="D20" s="25" t="s">
        <v>54</v>
      </c>
      <c r="E20" s="102" t="s">
        <v>133</v>
      </c>
      <c r="F20" s="31" t="s">
        <v>155</v>
      </c>
      <c r="G20" s="14">
        <v>0.0</v>
      </c>
      <c r="H20" s="19">
        <f>RESUMEN_GENERAL!$H$2-G20</f>
        <v>20</v>
      </c>
      <c r="I20" s="97">
        <v>45754.0</v>
      </c>
      <c r="J20" s="97">
        <v>45961.0</v>
      </c>
      <c r="K20" s="41" t="s">
        <v>141</v>
      </c>
      <c r="L20" s="41" t="s">
        <v>156</v>
      </c>
      <c r="M20" s="41" t="s">
        <v>157</v>
      </c>
      <c r="N20" s="41">
        <v>5.583723328E9</v>
      </c>
    </row>
    <row r="21" ht="15.75" customHeight="1">
      <c r="A21" s="1"/>
      <c r="B21" s="1"/>
      <c r="C21" s="8" t="s">
        <v>14</v>
      </c>
      <c r="D21" s="25" t="s">
        <v>74</v>
      </c>
      <c r="E21" s="28">
        <v>2.182005967E9</v>
      </c>
      <c r="F21" s="31" t="s">
        <v>158</v>
      </c>
      <c r="G21" s="14">
        <v>0.0</v>
      </c>
      <c r="H21" s="19">
        <f>RESUMEN_GENERAL!$H$2-G21</f>
        <v>20</v>
      </c>
      <c r="I21" s="97">
        <v>45768.0</v>
      </c>
      <c r="J21" s="107"/>
      <c r="K21" s="41" t="s">
        <v>141</v>
      </c>
      <c r="L21" s="41" t="s">
        <v>162</v>
      </c>
      <c r="M21" s="103"/>
      <c r="N21" s="103"/>
    </row>
    <row r="22" ht="15.75" customHeight="1">
      <c r="A22" s="1"/>
      <c r="B22" s="1"/>
      <c r="C22" s="8" t="s">
        <v>14</v>
      </c>
      <c r="D22" s="25" t="s">
        <v>85</v>
      </c>
      <c r="E22" s="28">
        <v>2.173076707E9</v>
      </c>
      <c r="F22" s="31" t="s">
        <v>163</v>
      </c>
      <c r="G22" s="14">
        <v>0.0</v>
      </c>
      <c r="H22" s="19">
        <f>RESUMEN_GENERAL!$H$2-G22</f>
        <v>20</v>
      </c>
      <c r="I22" s="97">
        <v>45810.0</v>
      </c>
      <c r="J22" s="109">
        <v>46038.0</v>
      </c>
      <c r="K22" s="105" t="s">
        <v>141</v>
      </c>
      <c r="L22" s="105" t="s">
        <v>173</v>
      </c>
      <c r="M22" s="103"/>
      <c r="N22" s="103"/>
    </row>
    <row r="23" ht="15.75" customHeight="1">
      <c r="A23" s="1"/>
      <c r="B23" s="1"/>
      <c r="C23" s="8" t="s">
        <v>14</v>
      </c>
      <c r="D23" s="25" t="s">
        <v>85</v>
      </c>
      <c r="E23" s="28">
        <v>2.212004434E9</v>
      </c>
      <c r="F23" s="31" t="s">
        <v>174</v>
      </c>
      <c r="G23" s="14">
        <v>0.0</v>
      </c>
      <c r="H23" s="19">
        <f>RESUMEN_GENERAL!$H$2-G23</f>
        <v>20</v>
      </c>
      <c r="I23" s="97">
        <v>45810.0</v>
      </c>
      <c r="J23" s="109">
        <v>46038.0</v>
      </c>
      <c r="K23" s="41" t="s">
        <v>141</v>
      </c>
      <c r="L23" s="41" t="s">
        <v>175</v>
      </c>
      <c r="M23" s="41" t="s">
        <v>176</v>
      </c>
      <c r="N23" s="41">
        <v>5.530748953E9</v>
      </c>
    </row>
    <row r="24" ht="15.75" customHeight="1">
      <c r="A24" s="1"/>
      <c r="B24" s="1"/>
      <c r="C24" s="8" t="s">
        <v>14</v>
      </c>
      <c r="D24" s="25" t="s">
        <v>85</v>
      </c>
      <c r="E24" s="28">
        <v>2.182002288E9</v>
      </c>
      <c r="F24" s="31" t="s">
        <v>177</v>
      </c>
      <c r="G24" s="14">
        <v>0.0</v>
      </c>
      <c r="H24" s="19">
        <f>RESUMEN_GENERAL!$H$2-G24</f>
        <v>20</v>
      </c>
      <c r="I24" s="97">
        <v>45806.0</v>
      </c>
      <c r="J24" s="109">
        <v>46020.0</v>
      </c>
      <c r="K24" s="41" t="s">
        <v>141</v>
      </c>
      <c r="L24" s="41" t="s">
        <v>178</v>
      </c>
      <c r="M24" s="103"/>
      <c r="N24" s="103"/>
    </row>
    <row r="25" ht="15.75" customHeight="1">
      <c r="A25" s="1"/>
      <c r="B25" s="1"/>
      <c r="C25" s="8" t="s">
        <v>14</v>
      </c>
      <c r="D25" s="25" t="s">
        <v>85</v>
      </c>
      <c r="E25" s="28">
        <v>2.192007624E9</v>
      </c>
      <c r="F25" s="31" t="s">
        <v>179</v>
      </c>
      <c r="G25" s="14">
        <v>0.0</v>
      </c>
      <c r="H25" s="19">
        <f>RESUMEN_GENERAL!$H$2-G25</f>
        <v>20</v>
      </c>
      <c r="I25" s="97">
        <v>45799.0</v>
      </c>
      <c r="J25" s="109">
        <v>46013.0</v>
      </c>
      <c r="K25" s="105" t="s">
        <v>141</v>
      </c>
      <c r="L25" s="105" t="s">
        <v>180</v>
      </c>
      <c r="M25" s="103"/>
      <c r="N25" s="103"/>
    </row>
    <row r="26" ht="15.75" customHeight="1">
      <c r="A26" s="1"/>
      <c r="B26" s="1"/>
      <c r="C26" s="8" t="s">
        <v>14</v>
      </c>
      <c r="D26" s="25" t="s">
        <v>85</v>
      </c>
      <c r="E26" s="102" t="s">
        <v>133</v>
      </c>
      <c r="F26" s="31" t="s">
        <v>181</v>
      </c>
      <c r="G26" s="14">
        <v>0.0</v>
      </c>
      <c r="H26" s="19">
        <f>RESUMEN_GENERAL!$H$2-G26</f>
        <v>20</v>
      </c>
      <c r="I26" s="97">
        <v>45817.0</v>
      </c>
      <c r="J26" s="97">
        <v>46052.0</v>
      </c>
      <c r="K26" s="41" t="s">
        <v>141</v>
      </c>
      <c r="L26" s="41" t="s">
        <v>175</v>
      </c>
      <c r="M26" s="103"/>
      <c r="N26" s="103"/>
    </row>
    <row r="27" ht="15.75" customHeight="1">
      <c r="A27" s="1"/>
      <c r="B27" s="1"/>
      <c r="C27" s="8" t="s">
        <v>14</v>
      </c>
      <c r="D27" s="25" t="s">
        <v>54</v>
      </c>
      <c r="E27" s="102" t="s">
        <v>133</v>
      </c>
      <c r="F27" s="31" t="s">
        <v>185</v>
      </c>
      <c r="G27" s="14">
        <v>0.0</v>
      </c>
      <c r="H27" s="19">
        <f>RESUMEN_GENERAL!$H$2-G27</f>
        <v>20</v>
      </c>
      <c r="I27" s="97">
        <v>45866.0</v>
      </c>
      <c r="J27" s="97">
        <v>45729.0</v>
      </c>
      <c r="K27" s="41" t="s">
        <v>189</v>
      </c>
      <c r="L27" s="41" t="s">
        <v>190</v>
      </c>
      <c r="M27" s="41" t="s">
        <v>191</v>
      </c>
      <c r="N27" s="41">
        <v>5.541454262E9</v>
      </c>
    </row>
    <row r="28" ht="15.75" customHeight="1">
      <c r="A28" s="1"/>
      <c r="B28" s="1"/>
      <c r="C28" s="8" t="s">
        <v>14</v>
      </c>
      <c r="D28" s="25" t="s">
        <v>44</v>
      </c>
      <c r="E28" s="102" t="s">
        <v>133</v>
      </c>
      <c r="F28" s="31" t="s">
        <v>195</v>
      </c>
      <c r="G28" s="14">
        <v>0.0</v>
      </c>
      <c r="H28" s="19">
        <f>RESUMEN_GENERAL!$H$2-G28</f>
        <v>20</v>
      </c>
      <c r="I28" s="97">
        <v>45943.0</v>
      </c>
      <c r="J28" s="97">
        <v>46150.0</v>
      </c>
      <c r="K28" s="41" t="s">
        <v>198</v>
      </c>
      <c r="L28" s="41" t="s">
        <v>200</v>
      </c>
      <c r="M28" s="41" t="s">
        <v>202</v>
      </c>
      <c r="N28" s="41">
        <v>5.548863565E9</v>
      </c>
    </row>
    <row r="29" ht="15.75" customHeight="1">
      <c r="A29" s="1"/>
      <c r="B29" s="1"/>
      <c r="C29" s="8" t="s">
        <v>14</v>
      </c>
      <c r="D29" s="25" t="s">
        <v>85</v>
      </c>
      <c r="E29" s="102" t="s">
        <v>133</v>
      </c>
      <c r="F29" s="31" t="s">
        <v>203</v>
      </c>
      <c r="G29" s="14">
        <v>0.0</v>
      </c>
      <c r="H29" s="19">
        <f>RESUMEN_GENERAL!$H$2-G29</f>
        <v>20</v>
      </c>
      <c r="I29" s="97">
        <v>45943.0</v>
      </c>
      <c r="J29" s="97">
        <v>46150.0</v>
      </c>
      <c r="K29" s="41" t="s">
        <v>198</v>
      </c>
      <c r="L29" s="41" t="s">
        <v>204</v>
      </c>
      <c r="M29" s="41" t="s">
        <v>205</v>
      </c>
      <c r="N29" s="41">
        <v>5.572162818E9</v>
      </c>
    </row>
    <row r="30" ht="15.75" customHeight="1">
      <c r="A30" s="1"/>
      <c r="B30" s="1"/>
      <c r="C30" s="8" t="s">
        <v>14</v>
      </c>
      <c r="D30" s="25" t="s">
        <v>85</v>
      </c>
      <c r="E30" s="110">
        <v>2.213032521E9</v>
      </c>
      <c r="F30" s="31" t="s">
        <v>206</v>
      </c>
      <c r="G30" s="14">
        <v>0.0</v>
      </c>
      <c r="H30" s="19">
        <f>RESUMEN_GENERAL!$H$2-G30</f>
        <v>20</v>
      </c>
      <c r="I30" s="111">
        <v>45943.0</v>
      </c>
      <c r="J30" s="97">
        <v>46150.0</v>
      </c>
      <c r="K30" s="41" t="s">
        <v>198</v>
      </c>
      <c r="L30" s="112" t="s">
        <v>207</v>
      </c>
      <c r="M30" s="1"/>
      <c r="N30" s="113">
        <v>5.533053156E9</v>
      </c>
    </row>
    <row r="31" ht="15.75" customHeight="1">
      <c r="A31" s="1"/>
      <c r="B31" s="1"/>
      <c r="C31" s="8" t="s">
        <v>14</v>
      </c>
      <c r="D31" s="25" t="s">
        <v>208</v>
      </c>
      <c r="E31" s="114">
        <v>2.19300419E9</v>
      </c>
      <c r="F31" s="31" t="s">
        <v>209</v>
      </c>
      <c r="G31" s="14">
        <v>0.0</v>
      </c>
      <c r="H31" s="19">
        <f>RESUMEN_GENERAL!$H$2-G31</f>
        <v>20</v>
      </c>
      <c r="I31" s="97">
        <v>45978.0</v>
      </c>
      <c r="J31" s="97">
        <v>46178.0</v>
      </c>
      <c r="K31" s="41" t="s">
        <v>198</v>
      </c>
      <c r="L31" s="41" t="s">
        <v>210</v>
      </c>
      <c r="M31" s="41" t="s">
        <v>211</v>
      </c>
      <c r="N31" s="41">
        <v>5.552152907E9</v>
      </c>
    </row>
    <row r="32" ht="15.75" customHeight="1">
      <c r="A32" s="1"/>
      <c r="B32" s="1"/>
      <c r="C32" s="8" t="s">
        <v>14</v>
      </c>
      <c r="D32" s="25" t="s">
        <v>208</v>
      </c>
      <c r="E32" s="114">
        <v>2.173076565E9</v>
      </c>
      <c r="F32" s="31" t="s">
        <v>215</v>
      </c>
      <c r="G32" s="14">
        <v>0.0</v>
      </c>
      <c r="H32" s="19">
        <f>RESUMEN_GENERAL!$H$2-G32</f>
        <v>20</v>
      </c>
      <c r="I32" s="97">
        <v>45964.0</v>
      </c>
      <c r="J32" s="97">
        <v>46150.0</v>
      </c>
      <c r="K32" s="41" t="s">
        <v>198</v>
      </c>
      <c r="L32" s="103"/>
      <c r="M32" s="103"/>
      <c r="N32" s="103"/>
    </row>
    <row r="33" ht="15.75" customHeight="1">
      <c r="A33" s="1"/>
      <c r="B33" s="1"/>
      <c r="C33" s="8" t="s">
        <v>14</v>
      </c>
      <c r="D33" s="25" t="s">
        <v>208</v>
      </c>
      <c r="E33" s="114">
        <v>2.192007393E9</v>
      </c>
      <c r="F33" s="31" t="s">
        <v>219</v>
      </c>
      <c r="G33" s="14">
        <v>0.0</v>
      </c>
      <c r="H33" s="19">
        <f>RESUMEN_GENERAL!$H$2-G33</f>
        <v>20</v>
      </c>
      <c r="I33" s="116" t="s">
        <v>220</v>
      </c>
      <c r="J33" s="97" t="s">
        <v>221</v>
      </c>
      <c r="K33" s="41" t="s">
        <v>198</v>
      </c>
      <c r="L33" s="103"/>
      <c r="M33" s="103"/>
      <c r="N33" s="103"/>
    </row>
    <row r="34" ht="15.75" customHeight="1">
      <c r="A34" s="1"/>
      <c r="B34" s="1"/>
      <c r="C34" s="8" t="s">
        <v>14</v>
      </c>
      <c r="D34" s="25" t="s">
        <v>208</v>
      </c>
      <c r="E34" s="114">
        <v>2.203000348E9</v>
      </c>
      <c r="F34" s="31" t="s">
        <v>224</v>
      </c>
      <c r="G34" s="14">
        <v>0.0</v>
      </c>
      <c r="H34" s="19">
        <f>RESUMEN_GENERAL!$H$2-G34</f>
        <v>20</v>
      </c>
      <c r="I34" s="117">
        <v>45999.0</v>
      </c>
      <c r="J34" s="97">
        <v>46188.0</v>
      </c>
      <c r="K34" s="41" t="s">
        <v>198</v>
      </c>
      <c r="L34" s="112" t="s">
        <v>226</v>
      </c>
      <c r="M34" s="103"/>
      <c r="N34" s="103"/>
    </row>
    <row r="35" ht="15.75" customHeight="1">
      <c r="A35" s="1"/>
      <c r="B35" s="1"/>
      <c r="C35" s="8" t="s">
        <v>14</v>
      </c>
      <c r="D35" s="118" t="s">
        <v>54</v>
      </c>
      <c r="E35" s="114">
        <v>2.212006803E9</v>
      </c>
      <c r="F35" s="31" t="s">
        <v>227</v>
      </c>
      <c r="G35" s="14">
        <v>0.0</v>
      </c>
      <c r="H35" s="19">
        <f>RESUMEN_GENERAL!$H$2-G35</f>
        <v>20</v>
      </c>
      <c r="I35" s="120">
        <v>46000.0</v>
      </c>
      <c r="J35" s="97">
        <v>46174.0</v>
      </c>
      <c r="K35" s="41" t="s">
        <v>198</v>
      </c>
      <c r="L35" s="41" t="s">
        <v>228</v>
      </c>
      <c r="M35" s="103"/>
      <c r="N35" s="41">
        <v>5.559457627E9</v>
      </c>
    </row>
    <row r="36" ht="15.75" customHeight="1">
      <c r="A36" s="1"/>
      <c r="B36" s="1"/>
      <c r="C36" s="8" t="s">
        <v>14</v>
      </c>
      <c r="D36" s="118" t="s">
        <v>124</v>
      </c>
      <c r="E36" s="114">
        <v>2.123031703E9</v>
      </c>
      <c r="F36" s="31" t="s">
        <v>229</v>
      </c>
      <c r="G36" s="14">
        <v>0.0</v>
      </c>
      <c r="H36" s="19">
        <f>RESUMEN_GENERAL!$H$2-G36</f>
        <v>20</v>
      </c>
      <c r="I36" s="120">
        <v>46003.0</v>
      </c>
      <c r="J36" s="107"/>
      <c r="K36" s="41" t="s">
        <v>198</v>
      </c>
      <c r="L36" s="103"/>
      <c r="M36" s="103"/>
      <c r="N36" s="103"/>
    </row>
    <row r="37" ht="15.75" customHeight="1">
      <c r="A37" s="1"/>
      <c r="B37" s="1"/>
      <c r="C37" s="8" t="s">
        <v>14</v>
      </c>
      <c r="D37" s="25" t="s">
        <v>208</v>
      </c>
      <c r="E37" s="114">
        <v>2.183042213E9</v>
      </c>
      <c r="F37" s="31" t="s">
        <v>230</v>
      </c>
      <c r="G37" s="14">
        <v>0.0</v>
      </c>
      <c r="H37" s="19">
        <f>RESUMEN_GENERAL!$H$2-G37</f>
        <v>20</v>
      </c>
      <c r="I37" s="120">
        <v>46048.0</v>
      </c>
      <c r="J37" s="97">
        <v>46227.0</v>
      </c>
      <c r="K37" s="41" t="s">
        <v>231</v>
      </c>
      <c r="L37" s="41" t="s">
        <v>232</v>
      </c>
      <c r="M37" s="121" t="s">
        <v>233</v>
      </c>
      <c r="N37" s="41">
        <v>5.587734257E9</v>
      </c>
    </row>
    <row r="38" ht="15.75" customHeight="1">
      <c r="A38" s="1"/>
      <c r="B38" s="1"/>
      <c r="C38" s="8" t="s">
        <v>14</v>
      </c>
      <c r="D38" s="118" t="s">
        <v>54</v>
      </c>
      <c r="E38" s="114">
        <v>2.213032683E9</v>
      </c>
      <c r="F38" s="31" t="s">
        <v>234</v>
      </c>
      <c r="G38" s="122">
        <v>20.0</v>
      </c>
      <c r="H38" s="19">
        <f>RESUMEN_GENERAL!$H$2-G38</f>
        <v>0</v>
      </c>
      <c r="I38" s="120">
        <v>46062.0</v>
      </c>
      <c r="J38" s="97">
        <v>46241.0</v>
      </c>
      <c r="K38" s="41" t="s">
        <v>231</v>
      </c>
      <c r="L38" s="41" t="s">
        <v>235</v>
      </c>
      <c r="M38" s="41" t="s">
        <v>236</v>
      </c>
      <c r="N38" s="41">
        <v>5.524639048E9</v>
      </c>
    </row>
    <row r="39" ht="15.75" customHeight="1">
      <c r="A39" s="1"/>
      <c r="B39" s="1"/>
      <c r="C39" s="8" t="s">
        <v>14</v>
      </c>
      <c r="D39" s="25" t="s">
        <v>54</v>
      </c>
      <c r="E39" s="114">
        <v>2.202001994E9</v>
      </c>
      <c r="F39" s="31" t="s">
        <v>237</v>
      </c>
      <c r="G39" s="122">
        <f>'JAVIER G.S'!R1</f>
        <v>20.0150463</v>
      </c>
      <c r="H39" s="19">
        <f>RESUMEN_GENERAL!$H$2-G39</f>
        <v>-0.0150462963</v>
      </c>
      <c r="I39" s="117">
        <v>46083.0</v>
      </c>
      <c r="J39" s="97">
        <v>46297.0</v>
      </c>
      <c r="K39" s="41" t="s">
        <v>231</v>
      </c>
      <c r="L39" s="112" t="s">
        <v>238</v>
      </c>
      <c r="M39" s="41" t="s">
        <v>239</v>
      </c>
      <c r="N39" s="41">
        <v>5.575229694E9</v>
      </c>
    </row>
    <row r="40" ht="15.75" customHeight="1">
      <c r="A40" s="1"/>
      <c r="B40" s="1"/>
      <c r="C40" s="123" t="s">
        <v>240</v>
      </c>
      <c r="D40" s="25" t="s">
        <v>208</v>
      </c>
      <c r="E40" s="114">
        <v>2.192007142E9</v>
      </c>
      <c r="F40" s="31" t="s">
        <v>98</v>
      </c>
      <c r="G40" s="122">
        <f>'KATHERINE M.M'!R1</f>
        <v>20.14298611</v>
      </c>
      <c r="H40" s="19">
        <f>RESUMEN_GENERAL!$H$2-G40</f>
        <v>-0.1429861111</v>
      </c>
      <c r="I40" s="97">
        <v>46097.0</v>
      </c>
      <c r="J40" s="97">
        <v>46311.0</v>
      </c>
      <c r="K40" s="41" t="s">
        <v>231</v>
      </c>
      <c r="L40" s="41" t="s">
        <v>241</v>
      </c>
      <c r="M40" s="41" t="s">
        <v>242</v>
      </c>
      <c r="N40" s="41">
        <v>5.540382947E9</v>
      </c>
    </row>
    <row r="41" ht="15.75" customHeight="1">
      <c r="A41" s="1"/>
      <c r="B41" s="1"/>
      <c r="C41" s="123" t="s">
        <v>240</v>
      </c>
      <c r="D41" s="25" t="s">
        <v>44</v>
      </c>
      <c r="E41" s="114">
        <v>2.192000287E9</v>
      </c>
      <c r="F41" s="31" t="s">
        <v>67</v>
      </c>
      <c r="G41" s="122">
        <f>'FÁTIMA P.Z'!R1</f>
        <v>19.84238426</v>
      </c>
      <c r="H41" s="19">
        <f>RESUMEN_GENERAL!$H$2-G41</f>
        <v>0.1576157407</v>
      </c>
      <c r="I41" s="97">
        <v>46097.0</v>
      </c>
      <c r="J41" s="97">
        <v>46311.0</v>
      </c>
      <c r="K41" s="41" t="s">
        <v>231</v>
      </c>
      <c r="L41" s="41" t="s">
        <v>243</v>
      </c>
      <c r="M41" s="41" t="s">
        <v>244</v>
      </c>
      <c r="N41" s="41">
        <v>5.523387311E9</v>
      </c>
    </row>
    <row r="42" ht="15.75" customHeight="1">
      <c r="A42" s="1"/>
      <c r="B42" s="1"/>
      <c r="C42" s="123" t="s">
        <v>240</v>
      </c>
      <c r="D42" s="25" t="s">
        <v>44</v>
      </c>
      <c r="E42" s="114">
        <v>2.212005477E9</v>
      </c>
      <c r="F42" s="31" t="s">
        <v>245</v>
      </c>
      <c r="G42" s="122">
        <f>'ALEJANDRO R.M'!R1</f>
        <v>15.98194444</v>
      </c>
      <c r="H42" s="19">
        <f>RESUMEN_GENERAL!$H$2-G42</f>
        <v>4.018055556</v>
      </c>
      <c r="I42" s="97">
        <v>46153.0</v>
      </c>
      <c r="J42" s="97">
        <v>46367.0</v>
      </c>
      <c r="K42" s="41" t="s">
        <v>246</v>
      </c>
      <c r="L42" s="41" t="s">
        <v>247</v>
      </c>
      <c r="M42" s="41" t="s">
        <v>248</v>
      </c>
      <c r="N42" s="41">
        <v>5.61361426E9</v>
      </c>
    </row>
    <row r="43" ht="15.75" customHeight="1">
      <c r="A43" s="1"/>
      <c r="B43" s="1"/>
      <c r="C43" s="123" t="s">
        <v>240</v>
      </c>
      <c r="D43" s="25" t="s">
        <v>44</v>
      </c>
      <c r="E43" s="114">
        <v>2.203029585E9</v>
      </c>
      <c r="F43" s="31" t="s">
        <v>249</v>
      </c>
      <c r="G43" s="122">
        <f>'CHRISTIAN G.G'!R1</f>
        <v>15.7216088</v>
      </c>
      <c r="H43" s="19">
        <f>RESUMEN_GENERAL!$H$2-G43</f>
        <v>4.278391204</v>
      </c>
      <c r="I43" s="97">
        <v>46168.0</v>
      </c>
      <c r="J43" s="97">
        <v>46374.0</v>
      </c>
      <c r="K43" s="41" t="s">
        <v>246</v>
      </c>
      <c r="L43" s="41" t="s">
        <v>250</v>
      </c>
      <c r="M43" s="41" t="s">
        <v>251</v>
      </c>
      <c r="N43" s="41">
        <v>5.584149344E9</v>
      </c>
    </row>
    <row r="44" ht="15.75" customHeight="1">
      <c r="A44" s="1"/>
      <c r="B44" s="1"/>
      <c r="C44" s="123" t="s">
        <v>240</v>
      </c>
      <c r="D44" s="25" t="s">
        <v>44</v>
      </c>
      <c r="E44" s="114">
        <v>2.163001145E9</v>
      </c>
      <c r="F44" s="31" t="s">
        <v>252</v>
      </c>
      <c r="G44" s="122">
        <f>'LUIS F.C.G'!R1</f>
        <v>15.66107639</v>
      </c>
      <c r="H44" s="19">
        <f>RESUMEN_GENERAL!$H$2-G44</f>
        <v>4.338923611</v>
      </c>
      <c r="I44" s="97">
        <v>46153.0</v>
      </c>
      <c r="J44" s="97">
        <v>46367.0</v>
      </c>
      <c r="K44" s="41" t="s">
        <v>246</v>
      </c>
      <c r="L44" s="41" t="s">
        <v>253</v>
      </c>
      <c r="M44" s="41" t="s">
        <v>254</v>
      </c>
      <c r="N44" s="41">
        <v>7.641054897E9</v>
      </c>
    </row>
    <row r="45" ht="15.75" customHeight="1">
      <c r="A45" s="1"/>
      <c r="B45" s="1"/>
      <c r="C45" s="123" t="s">
        <v>240</v>
      </c>
      <c r="D45" s="25" t="s">
        <v>124</v>
      </c>
      <c r="E45" s="114">
        <v>2.223037289E9</v>
      </c>
      <c r="F45" s="31" t="s">
        <v>255</v>
      </c>
      <c r="G45" s="122">
        <f>'FERNANDO J.R.G'!R1</f>
        <v>14.90603009</v>
      </c>
      <c r="H45" s="19">
        <f>RESUMEN_GENERAL!$H$2-G45</f>
        <v>5.093969907</v>
      </c>
      <c r="I45" s="97">
        <v>46153.0</v>
      </c>
      <c r="J45" s="97">
        <v>46367.0</v>
      </c>
      <c r="K45" s="41" t="s">
        <v>246</v>
      </c>
      <c r="L45" s="41" t="s">
        <v>256</v>
      </c>
      <c r="M45" s="41" t="s">
        <v>257</v>
      </c>
      <c r="N45" s="41">
        <v>5.522526031E9</v>
      </c>
    </row>
    <row r="46" ht="15.75" customHeight="1">
      <c r="A46" s="1"/>
      <c r="B46" s="1"/>
      <c r="C46" s="123" t="s">
        <v>240</v>
      </c>
      <c r="D46" s="25" t="s">
        <v>54</v>
      </c>
      <c r="E46" s="114">
        <v>2.213001786E9</v>
      </c>
      <c r="F46" s="31" t="s">
        <v>258</v>
      </c>
      <c r="G46" s="122">
        <f>'KARLA Y.A.R'!R1</f>
        <v>14.63042824</v>
      </c>
      <c r="H46" s="19">
        <f>RESUMEN_GENERAL!$H$2-G46</f>
        <v>5.369571759</v>
      </c>
      <c r="I46" s="97">
        <v>46153.0</v>
      </c>
      <c r="J46" s="97">
        <v>46367.0</v>
      </c>
      <c r="K46" s="41" t="s">
        <v>246</v>
      </c>
      <c r="L46" s="41" t="s">
        <v>259</v>
      </c>
      <c r="M46" s="41" t="s">
        <v>260</v>
      </c>
      <c r="N46" s="41">
        <v>7.471896245E9</v>
      </c>
    </row>
    <row r="47" ht="15.75" customHeight="1">
      <c r="A47" s="1"/>
      <c r="B47" s="1"/>
      <c r="C47" s="123" t="s">
        <v>240</v>
      </c>
      <c r="D47" s="25" t="s">
        <v>54</v>
      </c>
      <c r="E47" s="114">
        <v>2.222003761E9</v>
      </c>
      <c r="F47" s="31" t="s">
        <v>261</v>
      </c>
      <c r="G47" s="122">
        <f>'MARIA N.C.M'!R1</f>
        <v>13.33570602</v>
      </c>
      <c r="H47" s="19">
        <f>RESUMEN_GENERAL!$H$2-G47</f>
        <v>6.664293981</v>
      </c>
      <c r="I47" s="97">
        <v>46168.0</v>
      </c>
      <c r="J47" s="97">
        <v>46374.0</v>
      </c>
      <c r="K47" s="41" t="s">
        <v>246</v>
      </c>
      <c r="L47" s="41" t="s">
        <v>262</v>
      </c>
      <c r="M47" s="41" t="s">
        <v>263</v>
      </c>
      <c r="N47" s="41">
        <v>5.573399705E9</v>
      </c>
    </row>
    <row r="48" ht="15.75" customHeight="1">
      <c r="A48" s="1"/>
      <c r="B48" s="1"/>
      <c r="C48" s="123" t="s">
        <v>240</v>
      </c>
      <c r="D48" s="25" t="s">
        <v>44</v>
      </c>
      <c r="E48" s="114">
        <v>2.223033254E9</v>
      </c>
      <c r="F48" s="31" t="s">
        <v>264</v>
      </c>
      <c r="G48" s="122">
        <f>'RAFAEL E.L.G'!R1</f>
        <v>15.21813657</v>
      </c>
      <c r="H48" s="19">
        <f>RESUMEN_GENERAL!$H$2-G48</f>
        <v>4.781863426</v>
      </c>
      <c r="I48" s="97">
        <v>46160.0</v>
      </c>
      <c r="J48" s="97">
        <v>46374.0</v>
      </c>
      <c r="K48" s="41" t="s">
        <v>246</v>
      </c>
      <c r="L48" s="41" t="s">
        <v>265</v>
      </c>
      <c r="M48" s="41" t="s">
        <v>266</v>
      </c>
      <c r="N48" s="41">
        <v>5.617051267E9</v>
      </c>
    </row>
    <row r="49" ht="15.75" customHeight="1">
      <c r="A49" s="1"/>
      <c r="B49" s="1"/>
      <c r="C49" s="123" t="s">
        <v>240</v>
      </c>
      <c r="D49" s="25" t="s">
        <v>44</v>
      </c>
      <c r="E49" s="114">
        <v>2.212005959E9</v>
      </c>
      <c r="F49" s="31" t="s">
        <v>267</v>
      </c>
      <c r="G49" s="122">
        <f>'CESAR Y.E.M'!R1</f>
        <v>13.1941088</v>
      </c>
      <c r="H49" s="19">
        <f>RESUMEN_GENERAL!$H$2-G49</f>
        <v>6.805891204</v>
      </c>
      <c r="I49" s="97">
        <v>46169.0</v>
      </c>
      <c r="J49" s="97">
        <v>46374.0</v>
      </c>
      <c r="K49" s="41" t="s">
        <v>246</v>
      </c>
      <c r="L49" s="41" t="s">
        <v>268</v>
      </c>
      <c r="M49" s="41" t="s">
        <v>269</v>
      </c>
      <c r="N49" s="41">
        <v>5.62175424E9</v>
      </c>
    </row>
    <row r="50" ht="15.75" customHeight="1">
      <c r="A50" s="1"/>
      <c r="B50" s="1"/>
      <c r="C50" s="123" t="s">
        <v>240</v>
      </c>
      <c r="D50" s="25" t="s">
        <v>85</v>
      </c>
      <c r="E50" s="114">
        <v>2.182000908E9</v>
      </c>
      <c r="F50" s="31" t="s">
        <v>270</v>
      </c>
      <c r="G50" s="122">
        <f>'MISAEL R.L'!R1</f>
        <v>9.067997685</v>
      </c>
      <c r="H50" s="19">
        <f>RESUMEN_GENERAL!$H$2-G50</f>
        <v>10.93200231</v>
      </c>
      <c r="I50" s="97">
        <v>46202.0</v>
      </c>
      <c r="J50" s="97">
        <v>46430.0</v>
      </c>
      <c r="K50" s="41" t="s">
        <v>246</v>
      </c>
      <c r="L50" s="41" t="s">
        <v>271</v>
      </c>
      <c r="M50" s="41" t="s">
        <v>272</v>
      </c>
      <c r="N50" s="41">
        <v>9.531119715E9</v>
      </c>
    </row>
    <row r="51" ht="15.75" customHeight="1">
      <c r="A51" s="1"/>
      <c r="B51" s="1"/>
      <c r="C51" s="123" t="s">
        <v>240</v>
      </c>
      <c r="D51" s="25" t="s">
        <v>54</v>
      </c>
      <c r="E51" s="114">
        <v>2.193041059E9</v>
      </c>
      <c r="F51" s="31" t="s">
        <v>273</v>
      </c>
      <c r="G51" s="122">
        <f>'LUDWING P.C'!R1</f>
        <v>3.156018519</v>
      </c>
      <c r="H51" s="19">
        <f>RESUMEN_GENERAL!$H$2-G51</f>
        <v>16.84398148</v>
      </c>
      <c r="I51" s="97">
        <v>46288.0</v>
      </c>
      <c r="J51" s="97">
        <v>46496.0</v>
      </c>
      <c r="K51" s="41" t="s">
        <v>274</v>
      </c>
      <c r="L51" s="41" t="s">
        <v>275</v>
      </c>
      <c r="M51" s="41" t="s">
        <v>276</v>
      </c>
      <c r="N51" s="41">
        <v>5.560936371E9</v>
      </c>
    </row>
    <row r="52" ht="15.75" customHeight="1">
      <c r="A52" s="1"/>
      <c r="B52" s="1"/>
      <c r="C52" s="123" t="s">
        <v>240</v>
      </c>
      <c r="D52" s="25" t="s">
        <v>74</v>
      </c>
      <c r="E52" s="114">
        <v>2.20200525E9</v>
      </c>
      <c r="F52" s="31" t="s">
        <v>277</v>
      </c>
      <c r="G52" s="122">
        <f>'CARLOS C.T.M'!R1</f>
        <v>2.559247685</v>
      </c>
      <c r="H52" s="19">
        <f>RESUMEN_GENERAL!$H$2-G52</f>
        <v>17.44075231</v>
      </c>
      <c r="I52" s="97">
        <v>46293.0</v>
      </c>
      <c r="J52" s="97">
        <v>46503.0</v>
      </c>
      <c r="K52" s="41" t="s">
        <v>274</v>
      </c>
      <c r="L52" s="41" t="s">
        <v>278</v>
      </c>
      <c r="M52" s="41" t="s">
        <v>279</v>
      </c>
      <c r="N52" s="41">
        <v>5.621646308E9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L1000" s="1"/>
      <c r="M1000" s="1"/>
      <c r="N1000" s="1"/>
    </row>
  </sheetData>
  <hyperlinks>
    <hyperlink r:id="rId1" ref="M37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57"/>
    <col customWidth="1" min="3" max="3" width="27.86"/>
    <col customWidth="1" min="4" max="4" width="22.0"/>
    <col customWidth="1" min="5" max="5" width="12.43"/>
    <col customWidth="1" min="6" max="7" width="8.71"/>
    <col customWidth="1" min="8" max="8" width="30.0"/>
  </cols>
  <sheetData>
    <row r="1">
      <c r="A1" s="1"/>
      <c r="B1" s="1"/>
      <c r="C1" s="1"/>
      <c r="D1" s="1"/>
      <c r="E1" s="1"/>
      <c r="F1" s="1"/>
      <c r="G1" s="1"/>
      <c r="H1" s="5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2">
        <v>20.0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15" t="s">
        <v>5</v>
      </c>
      <c r="C3" s="15" t="s">
        <v>6</v>
      </c>
      <c r="D3" s="15" t="s">
        <v>7</v>
      </c>
      <c r="E3" s="15" t="s">
        <v>18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8" t="s">
        <v>0</v>
      </c>
      <c r="C4" s="27">
        <f>'ALEJANDRO R.M'!R1</f>
        <v>15.98194444</v>
      </c>
      <c r="D4" s="27">
        <f t="shared" ref="D4:D16" si="1">$H$2-C4</f>
        <v>4.018055556</v>
      </c>
      <c r="E4" s="37">
        <f t="shared" ref="E4:E16" si="2">C4/$H$2</f>
        <v>0.7990972222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 t="s">
        <v>46</v>
      </c>
      <c r="C5" s="27">
        <f>'CESAR Y.E.M'!R1</f>
        <v>13.1941088</v>
      </c>
      <c r="D5" s="27">
        <f t="shared" si="1"/>
        <v>6.805891204</v>
      </c>
      <c r="E5" s="37">
        <f t="shared" si="2"/>
        <v>0.6597054398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56</v>
      </c>
      <c r="C6" s="27">
        <f>'CHRISTIAN G.G'!R1</f>
        <v>15.7216088</v>
      </c>
      <c r="D6" s="27">
        <f t="shared" si="1"/>
        <v>4.278391204</v>
      </c>
      <c r="E6" s="37">
        <f t="shared" si="2"/>
        <v>0.7860804398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67</v>
      </c>
      <c r="C7" s="27">
        <f>'FÁTIMA P.Z'!R1</f>
        <v>19.84238426</v>
      </c>
      <c r="D7" s="27">
        <f t="shared" si="1"/>
        <v>0.1576157407</v>
      </c>
      <c r="E7" s="37">
        <f t="shared" si="2"/>
        <v>0.992119213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" t="s">
        <v>76</v>
      </c>
      <c r="C8" s="27">
        <f>'FERNANDO J.R.G'!R1</f>
        <v>14.90603009</v>
      </c>
      <c r="D8" s="27">
        <f t="shared" si="1"/>
        <v>5.093969907</v>
      </c>
      <c r="E8" s="37">
        <f t="shared" si="2"/>
        <v>0.7453015046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8" t="s">
        <v>90</v>
      </c>
      <c r="C9" s="27">
        <f>'KARLA Y.A.R'!R1</f>
        <v>14.63042824</v>
      </c>
      <c r="D9" s="27">
        <f t="shared" si="1"/>
        <v>5.369571759</v>
      </c>
      <c r="E9" s="37">
        <f t="shared" si="2"/>
        <v>0.731521412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8" t="s">
        <v>98</v>
      </c>
      <c r="C10" s="27">
        <f>'KATHERINE M.M'!R1</f>
        <v>20.14298611</v>
      </c>
      <c r="D10" s="27">
        <f t="shared" si="1"/>
        <v>-0.1429861111</v>
      </c>
      <c r="E10" s="37">
        <f t="shared" si="2"/>
        <v>1.007149306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8" t="s">
        <v>105</v>
      </c>
      <c r="C11" s="27">
        <f>'LUDWING P.C'!R1</f>
        <v>3.156018519</v>
      </c>
      <c r="D11" s="27">
        <f t="shared" si="1"/>
        <v>16.84398148</v>
      </c>
      <c r="E11" s="37">
        <f t="shared" si="2"/>
        <v>0.1578009259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8" t="s">
        <v>114</v>
      </c>
      <c r="C12" s="27">
        <f>'LUIS F.C.G'!R1</f>
        <v>15.66107639</v>
      </c>
      <c r="D12" s="27">
        <f t="shared" si="1"/>
        <v>4.338923611</v>
      </c>
      <c r="E12" s="37">
        <f t="shared" si="2"/>
        <v>0.7830538194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118</v>
      </c>
      <c r="C13" s="100">
        <f>'MARIA N.C.M'!R1</f>
        <v>13.33570602</v>
      </c>
      <c r="D13" s="27">
        <f t="shared" si="1"/>
        <v>6.664293981</v>
      </c>
      <c r="E13" s="37">
        <f t="shared" si="2"/>
        <v>0.6667853009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" t="s">
        <v>130</v>
      </c>
      <c r="C14" s="27">
        <f>'MISAEL R.L'!R1</f>
        <v>9.067997685</v>
      </c>
      <c r="D14" s="27">
        <f t="shared" si="1"/>
        <v>10.93200231</v>
      </c>
      <c r="E14" s="37">
        <f t="shared" si="2"/>
        <v>0.4533998843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8" t="s">
        <v>143</v>
      </c>
      <c r="C15" s="100">
        <f>'RAFAEL E.L.G'!R1</f>
        <v>15.21813657</v>
      </c>
      <c r="D15" s="27">
        <f t="shared" si="1"/>
        <v>4.781863426</v>
      </c>
      <c r="E15" s="37">
        <f t="shared" si="2"/>
        <v>0.7609068287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8" t="s">
        <v>152</v>
      </c>
      <c r="C16" s="100">
        <f>'CARLOS C.T.M'!R1</f>
        <v>2.559247685</v>
      </c>
      <c r="D16" s="27">
        <f t="shared" si="1"/>
        <v>17.44075231</v>
      </c>
      <c r="E16" s="37">
        <f t="shared" si="2"/>
        <v>0.1279623843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6">
        <f>SUM(P:P)</f>
        <v>0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2" t="s">
        <v>21</v>
      </c>
      <c r="C2" s="24" t="s">
        <v>26</v>
      </c>
      <c r="D2" s="29" t="s">
        <v>27</v>
      </c>
      <c r="E2" s="22" t="s">
        <v>28</v>
      </c>
      <c r="F2" s="24" t="s">
        <v>30</v>
      </c>
      <c r="G2" s="32" t="s">
        <v>31</v>
      </c>
      <c r="H2" s="22" t="s">
        <v>32</v>
      </c>
      <c r="I2" s="24" t="s">
        <v>33</v>
      </c>
      <c r="J2" s="32" t="s">
        <v>34</v>
      </c>
      <c r="K2" s="34" t="s">
        <v>35</v>
      </c>
      <c r="L2" s="35" t="s">
        <v>36</v>
      </c>
      <c r="M2" s="38"/>
      <c r="N2" s="40" t="s">
        <v>37</v>
      </c>
      <c r="O2" s="38"/>
      <c r="P2" s="43" t="s">
        <v>43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2"/>
      <c r="C3" s="24"/>
      <c r="D3" s="29"/>
      <c r="E3" s="22"/>
      <c r="F3" s="24"/>
      <c r="G3" s="32"/>
      <c r="H3" s="22"/>
      <c r="I3" s="24"/>
      <c r="J3" s="32"/>
      <c r="K3" s="48"/>
      <c r="L3" s="50"/>
      <c r="M3" s="38"/>
      <c r="N3" s="38"/>
      <c r="O3" s="38"/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55"/>
      <c r="C4" s="56"/>
      <c r="D4" s="58"/>
      <c r="E4" s="55"/>
      <c r="F4" s="56"/>
      <c r="G4" s="60"/>
      <c r="H4" s="55"/>
      <c r="I4" s="56"/>
      <c r="J4" s="60"/>
      <c r="K4" s="62"/>
      <c r="L4" s="63"/>
      <c r="M4" s="44"/>
      <c r="N4" s="44"/>
      <c r="O4" s="44"/>
      <c r="P4" s="65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55"/>
      <c r="C5" s="56"/>
      <c r="D5" s="58"/>
      <c r="E5" s="55"/>
      <c r="F5" s="56"/>
      <c r="G5" s="60"/>
      <c r="H5" s="55"/>
      <c r="I5" s="56"/>
      <c r="J5" s="60"/>
      <c r="K5" s="62"/>
      <c r="L5" s="63"/>
      <c r="M5" s="44"/>
      <c r="N5" s="44"/>
      <c r="O5" s="44"/>
      <c r="P5" s="65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55"/>
      <c r="C6" s="69"/>
      <c r="D6" s="71"/>
      <c r="E6" s="55"/>
      <c r="F6" s="69"/>
      <c r="G6" s="60"/>
      <c r="H6" s="55"/>
      <c r="I6" s="69"/>
      <c r="J6" s="60"/>
      <c r="K6" s="62"/>
      <c r="L6" s="63"/>
      <c r="M6" s="44"/>
      <c r="N6" s="44"/>
      <c r="O6" s="44"/>
      <c r="P6" s="65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72"/>
      <c r="C7" s="73"/>
      <c r="D7" s="65"/>
      <c r="E7" s="72"/>
      <c r="F7" s="73"/>
      <c r="G7" s="65"/>
      <c r="H7" s="72"/>
      <c r="I7" s="73"/>
      <c r="J7" s="65"/>
      <c r="K7" s="75"/>
      <c r="L7" s="77"/>
      <c r="M7" s="44"/>
      <c r="N7" s="44"/>
      <c r="O7" s="44"/>
      <c r="P7" s="65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77"/>
      <c r="M8" s="44"/>
      <c r="N8" s="44"/>
      <c r="O8" s="44"/>
      <c r="P8" s="65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0"/>
      <c r="M9" s="92"/>
      <c r="N9" s="92"/>
      <c r="O9" s="92"/>
      <c r="P9" s="95">
        <f>SUMPRODUCT(VALUE(K3:K7))-(SUM(L3:L7))</f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2"/>
      <c r="C10" s="24"/>
      <c r="D10" s="29"/>
      <c r="E10" s="22"/>
      <c r="F10" s="24"/>
      <c r="G10" s="32"/>
      <c r="H10" s="22"/>
      <c r="I10" s="24"/>
      <c r="J10" s="32"/>
      <c r="K10" s="48"/>
      <c r="L10" s="50"/>
      <c r="M10" s="38"/>
      <c r="N10" s="38"/>
      <c r="O10" s="38"/>
      <c r="P10" s="9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55"/>
      <c r="C11" s="56"/>
      <c r="D11" s="58"/>
      <c r="E11" s="55"/>
      <c r="F11" s="56"/>
      <c r="G11" s="60"/>
      <c r="H11" s="55"/>
      <c r="I11" s="56"/>
      <c r="J11" s="60"/>
      <c r="K11" s="62"/>
      <c r="L11" s="63"/>
      <c r="M11" s="44"/>
      <c r="N11" s="44"/>
      <c r="O11" s="44"/>
      <c r="P11" s="6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55"/>
      <c r="C12" s="56"/>
      <c r="D12" s="58"/>
      <c r="E12" s="55"/>
      <c r="F12" s="56"/>
      <c r="G12" s="60"/>
      <c r="H12" s="55"/>
      <c r="I12" s="56"/>
      <c r="J12" s="60"/>
      <c r="K12" s="62"/>
      <c r="L12" s="63"/>
      <c r="M12" s="44"/>
      <c r="N12" s="44"/>
      <c r="O12" s="44"/>
      <c r="P12" s="6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55"/>
      <c r="C13" s="69"/>
      <c r="D13" s="71"/>
      <c r="E13" s="55"/>
      <c r="F13" s="69"/>
      <c r="G13" s="60"/>
      <c r="H13" s="55"/>
      <c r="I13" s="69"/>
      <c r="J13" s="60"/>
      <c r="K13" s="62"/>
      <c r="L13" s="63"/>
      <c r="M13" s="44"/>
      <c r="N13" s="44"/>
      <c r="O13" s="44"/>
      <c r="P13" s="6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72"/>
      <c r="C14" s="73"/>
      <c r="D14" s="65"/>
      <c r="E14" s="72"/>
      <c r="F14" s="73"/>
      <c r="G14" s="65"/>
      <c r="H14" s="72"/>
      <c r="I14" s="73"/>
      <c r="J14" s="65"/>
      <c r="K14" s="75"/>
      <c r="L14" s="77"/>
      <c r="M14" s="44"/>
      <c r="N14" s="44"/>
      <c r="O14" s="44"/>
      <c r="P14" s="6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77"/>
      <c r="M15" s="44"/>
      <c r="N15" s="44"/>
      <c r="O15" s="44"/>
      <c r="P15" s="6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0"/>
      <c r="M16" s="92"/>
      <c r="N16" s="92"/>
      <c r="O16" s="92"/>
      <c r="P16" s="95">
        <f>SUMPRODUCT(VALUE(K10:K14))-(SUM(L10:L14))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2"/>
      <c r="C17" s="24"/>
      <c r="D17" s="29"/>
      <c r="E17" s="22"/>
      <c r="F17" s="24"/>
      <c r="G17" s="32"/>
      <c r="H17" s="22"/>
      <c r="I17" s="24"/>
      <c r="J17" s="32"/>
      <c r="K17" s="48"/>
      <c r="L17" s="50"/>
      <c r="M17" s="38"/>
      <c r="N17" s="38"/>
      <c r="O17" s="38"/>
      <c r="P17" s="9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55"/>
      <c r="C18" s="56"/>
      <c r="D18" s="58"/>
      <c r="E18" s="55"/>
      <c r="F18" s="56"/>
      <c r="G18" s="60"/>
      <c r="H18" s="55"/>
      <c r="I18" s="56"/>
      <c r="J18" s="60"/>
      <c r="K18" s="62"/>
      <c r="L18" s="63"/>
      <c r="M18" s="44"/>
      <c r="N18" s="44"/>
      <c r="O18" s="44"/>
      <c r="P18" s="6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55"/>
      <c r="C19" s="56"/>
      <c r="D19" s="58"/>
      <c r="E19" s="55"/>
      <c r="F19" s="56"/>
      <c r="G19" s="60"/>
      <c r="H19" s="55"/>
      <c r="I19" s="56"/>
      <c r="J19" s="60"/>
      <c r="K19" s="62"/>
      <c r="L19" s="63"/>
      <c r="M19" s="44"/>
      <c r="N19" s="44"/>
      <c r="O19" s="44"/>
      <c r="P19" s="6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55"/>
      <c r="C20" s="69"/>
      <c r="D20" s="71"/>
      <c r="E20" s="55"/>
      <c r="F20" s="69"/>
      <c r="G20" s="60"/>
      <c r="H20" s="55"/>
      <c r="I20" s="69"/>
      <c r="J20" s="60"/>
      <c r="K20" s="62"/>
      <c r="L20" s="63"/>
      <c r="M20" s="44"/>
      <c r="N20" s="44"/>
      <c r="O20" s="44"/>
      <c r="P20" s="65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72"/>
      <c r="C21" s="73"/>
      <c r="D21" s="65"/>
      <c r="E21" s="72"/>
      <c r="F21" s="73"/>
      <c r="G21" s="65"/>
      <c r="H21" s="72"/>
      <c r="I21" s="73"/>
      <c r="J21" s="65"/>
      <c r="K21" s="75"/>
      <c r="L21" s="77"/>
      <c r="M21" s="44"/>
      <c r="N21" s="44"/>
      <c r="O21" s="44"/>
      <c r="P21" s="6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77"/>
      <c r="M22" s="44"/>
      <c r="N22" s="44"/>
      <c r="O22" s="44"/>
      <c r="P22" s="6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0"/>
      <c r="M23" s="92"/>
      <c r="N23" s="92"/>
      <c r="O23" s="92"/>
      <c r="P23" s="95">
        <f>SUMPRODUCT(VALUE(K17:K21))-(SUM(L17:L21))</f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2"/>
      <c r="C24" s="24"/>
      <c r="D24" s="29"/>
      <c r="E24" s="22"/>
      <c r="F24" s="24"/>
      <c r="G24" s="32"/>
      <c r="H24" s="22"/>
      <c r="I24" s="24"/>
      <c r="J24" s="32"/>
      <c r="K24" s="48"/>
      <c r="L24" s="50"/>
      <c r="M24" s="38"/>
      <c r="N24" s="38"/>
      <c r="O24" s="38"/>
      <c r="P24" s="9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55"/>
      <c r="C25" s="56"/>
      <c r="D25" s="58"/>
      <c r="E25" s="55"/>
      <c r="F25" s="56"/>
      <c r="G25" s="60"/>
      <c r="H25" s="55"/>
      <c r="I25" s="56"/>
      <c r="J25" s="60"/>
      <c r="K25" s="62"/>
      <c r="L25" s="63"/>
      <c r="M25" s="44"/>
      <c r="N25" s="44"/>
      <c r="O25" s="44"/>
      <c r="P25" s="6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55"/>
      <c r="C26" s="56"/>
      <c r="D26" s="58"/>
      <c r="E26" s="55"/>
      <c r="F26" s="56"/>
      <c r="G26" s="60"/>
      <c r="H26" s="55"/>
      <c r="I26" s="56"/>
      <c r="J26" s="60"/>
      <c r="K26" s="62"/>
      <c r="L26" s="63"/>
      <c r="M26" s="44"/>
      <c r="N26" s="44"/>
      <c r="O26" s="44"/>
      <c r="P26" s="65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55"/>
      <c r="C27" s="69"/>
      <c r="D27" s="71"/>
      <c r="E27" s="55"/>
      <c r="F27" s="69"/>
      <c r="G27" s="60"/>
      <c r="H27" s="55"/>
      <c r="I27" s="69"/>
      <c r="J27" s="60"/>
      <c r="K27" s="62"/>
      <c r="L27" s="63"/>
      <c r="M27" s="44"/>
      <c r="N27" s="44"/>
      <c r="O27" s="44"/>
      <c r="P27" s="65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72"/>
      <c r="C28" s="73"/>
      <c r="D28" s="65"/>
      <c r="E28" s="72"/>
      <c r="F28" s="73"/>
      <c r="G28" s="65"/>
      <c r="H28" s="72"/>
      <c r="I28" s="73"/>
      <c r="J28" s="65"/>
      <c r="K28" s="75"/>
      <c r="L28" s="77"/>
      <c r="M28" s="44"/>
      <c r="N28" s="44"/>
      <c r="O28" s="44"/>
      <c r="P28" s="6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77"/>
      <c r="M29" s="44"/>
      <c r="N29" s="44"/>
      <c r="O29" s="44"/>
      <c r="P29" s="6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0"/>
      <c r="M30" s="92"/>
      <c r="N30" s="92"/>
      <c r="O30" s="92"/>
      <c r="P30" s="95">
        <f>SUMPRODUCT(VALUE(K24:K28))-(SUM(L24:L28))</f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2"/>
      <c r="C31" s="24"/>
      <c r="D31" s="29"/>
      <c r="E31" s="22"/>
      <c r="F31" s="24"/>
      <c r="G31" s="32"/>
      <c r="H31" s="22"/>
      <c r="I31" s="24"/>
      <c r="J31" s="32"/>
      <c r="K31" s="48"/>
      <c r="L31" s="50"/>
      <c r="M31" s="38"/>
      <c r="N31" s="38"/>
      <c r="O31" s="38"/>
      <c r="P31" s="9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55"/>
      <c r="C32" s="56"/>
      <c r="D32" s="58"/>
      <c r="E32" s="55"/>
      <c r="F32" s="56"/>
      <c r="G32" s="60"/>
      <c r="H32" s="55"/>
      <c r="I32" s="56"/>
      <c r="J32" s="60"/>
      <c r="K32" s="62"/>
      <c r="L32" s="63"/>
      <c r="M32" s="44"/>
      <c r="N32" s="44"/>
      <c r="O32" s="44"/>
      <c r="P32" s="6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55"/>
      <c r="C33" s="56"/>
      <c r="D33" s="58"/>
      <c r="E33" s="55"/>
      <c r="F33" s="56"/>
      <c r="G33" s="60"/>
      <c r="H33" s="55"/>
      <c r="I33" s="56"/>
      <c r="J33" s="60"/>
      <c r="K33" s="62"/>
      <c r="L33" s="63"/>
      <c r="M33" s="44"/>
      <c r="N33" s="44"/>
      <c r="O33" s="44"/>
      <c r="P33" s="6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55"/>
      <c r="C34" s="69"/>
      <c r="D34" s="71"/>
      <c r="E34" s="55"/>
      <c r="F34" s="69"/>
      <c r="G34" s="60"/>
      <c r="H34" s="55"/>
      <c r="I34" s="69"/>
      <c r="J34" s="60"/>
      <c r="K34" s="62"/>
      <c r="L34" s="63"/>
      <c r="M34" s="44"/>
      <c r="N34" s="44"/>
      <c r="O34" s="44"/>
      <c r="P34" s="6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72"/>
      <c r="C35" s="73"/>
      <c r="D35" s="65"/>
      <c r="E35" s="72"/>
      <c r="F35" s="73"/>
      <c r="G35" s="65"/>
      <c r="H35" s="72"/>
      <c r="I35" s="73"/>
      <c r="J35" s="65"/>
      <c r="K35" s="75"/>
      <c r="L35" s="77"/>
      <c r="M35" s="44"/>
      <c r="N35" s="44"/>
      <c r="O35" s="44"/>
      <c r="P35" s="6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77"/>
      <c r="M36" s="44"/>
      <c r="N36" s="44"/>
      <c r="O36" s="44"/>
      <c r="P36" s="6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0"/>
      <c r="M37" s="92"/>
      <c r="N37" s="92"/>
      <c r="O37" s="92"/>
      <c r="P37" s="95">
        <f>SUMPRODUCT(VALUE(K31:K35))-(SUM(L31:L35))</f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2"/>
      <c r="C38" s="24"/>
      <c r="D38" s="29"/>
      <c r="E38" s="22"/>
      <c r="F38" s="24"/>
      <c r="G38" s="32"/>
      <c r="H38" s="22"/>
      <c r="I38" s="24"/>
      <c r="J38" s="32"/>
      <c r="K38" s="48"/>
      <c r="L38" s="50"/>
      <c r="M38" s="38"/>
      <c r="N38" s="38"/>
      <c r="O38" s="38"/>
      <c r="P38" s="9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55"/>
      <c r="C39" s="56"/>
      <c r="D39" s="58"/>
      <c r="E39" s="55"/>
      <c r="F39" s="56"/>
      <c r="G39" s="60"/>
      <c r="H39" s="55"/>
      <c r="I39" s="56"/>
      <c r="J39" s="60"/>
      <c r="K39" s="62"/>
      <c r="L39" s="63"/>
      <c r="M39" s="44"/>
      <c r="N39" s="44"/>
      <c r="O39" s="44"/>
      <c r="P39" s="6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55"/>
      <c r="C40" s="56"/>
      <c r="D40" s="58"/>
      <c r="E40" s="55"/>
      <c r="F40" s="56"/>
      <c r="G40" s="60"/>
      <c r="H40" s="55"/>
      <c r="I40" s="56"/>
      <c r="J40" s="60"/>
      <c r="K40" s="62"/>
      <c r="L40" s="63"/>
      <c r="M40" s="44"/>
      <c r="N40" s="44"/>
      <c r="O40" s="44"/>
      <c r="P40" s="6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55"/>
      <c r="C41" s="69"/>
      <c r="D41" s="71"/>
      <c r="E41" s="55"/>
      <c r="F41" s="69"/>
      <c r="G41" s="60"/>
      <c r="H41" s="55"/>
      <c r="I41" s="69"/>
      <c r="J41" s="60"/>
      <c r="K41" s="62"/>
      <c r="L41" s="63"/>
      <c r="M41" s="44"/>
      <c r="N41" s="44"/>
      <c r="O41" s="44"/>
      <c r="P41" s="6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72"/>
      <c r="C42" s="73"/>
      <c r="D42" s="65"/>
      <c r="E42" s="72"/>
      <c r="F42" s="73"/>
      <c r="G42" s="65"/>
      <c r="H42" s="72"/>
      <c r="I42" s="73"/>
      <c r="J42" s="65"/>
      <c r="K42" s="75"/>
      <c r="L42" s="77"/>
      <c r="M42" s="44"/>
      <c r="N42" s="44"/>
      <c r="O42" s="44"/>
      <c r="P42" s="6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77"/>
      <c r="M43" s="44"/>
      <c r="N43" s="44"/>
      <c r="O43" s="44"/>
      <c r="P43" s="6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0"/>
      <c r="M44" s="92"/>
      <c r="N44" s="92"/>
      <c r="O44" s="92"/>
      <c r="P44" s="95">
        <f>SUMPRODUCT(VALUE(K38:K42))-(SUM(L38:L42))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2"/>
      <c r="C45" s="24"/>
      <c r="D45" s="29"/>
      <c r="E45" s="22"/>
      <c r="F45" s="24"/>
      <c r="G45" s="32"/>
      <c r="H45" s="22"/>
      <c r="I45" s="24"/>
      <c r="J45" s="32"/>
      <c r="K45" s="48"/>
      <c r="L45" s="50"/>
      <c r="M45" s="38"/>
      <c r="N45" s="38"/>
      <c r="O45" s="38"/>
      <c r="P45" s="9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55"/>
      <c r="C46" s="56"/>
      <c r="D46" s="58"/>
      <c r="E46" s="55"/>
      <c r="F46" s="56"/>
      <c r="G46" s="60"/>
      <c r="H46" s="55"/>
      <c r="I46" s="56"/>
      <c r="J46" s="60"/>
      <c r="K46" s="62"/>
      <c r="L46" s="63"/>
      <c r="M46" s="44"/>
      <c r="N46" s="44"/>
      <c r="O46" s="44"/>
      <c r="P46" s="6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55"/>
      <c r="C47" s="56"/>
      <c r="D47" s="58"/>
      <c r="E47" s="55"/>
      <c r="F47" s="56"/>
      <c r="G47" s="60"/>
      <c r="H47" s="55"/>
      <c r="I47" s="56"/>
      <c r="J47" s="60"/>
      <c r="K47" s="62"/>
      <c r="L47" s="63"/>
      <c r="M47" s="44"/>
      <c r="N47" s="44"/>
      <c r="O47" s="44"/>
      <c r="P47" s="6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55"/>
      <c r="C48" s="69"/>
      <c r="D48" s="71"/>
      <c r="E48" s="55"/>
      <c r="F48" s="69"/>
      <c r="G48" s="60"/>
      <c r="H48" s="55"/>
      <c r="I48" s="69"/>
      <c r="J48" s="60"/>
      <c r="K48" s="62"/>
      <c r="L48" s="63"/>
      <c r="M48" s="44"/>
      <c r="N48" s="44"/>
      <c r="O48" s="44"/>
      <c r="P48" s="6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72"/>
      <c r="C49" s="73"/>
      <c r="D49" s="65"/>
      <c r="E49" s="72"/>
      <c r="F49" s="73"/>
      <c r="G49" s="65"/>
      <c r="H49" s="72"/>
      <c r="I49" s="73"/>
      <c r="J49" s="65"/>
      <c r="K49" s="75"/>
      <c r="L49" s="77"/>
      <c r="M49" s="44"/>
      <c r="N49" s="44"/>
      <c r="O49" s="44"/>
      <c r="P49" s="6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77"/>
      <c r="M50" s="44"/>
      <c r="N50" s="44"/>
      <c r="O50" s="44"/>
      <c r="P50" s="6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0"/>
      <c r="M51" s="92"/>
      <c r="N51" s="92"/>
      <c r="O51" s="92"/>
      <c r="P51" s="95">
        <f>SUMPRODUCT(VALUE(K45:K49))-(SUM(L45:L49))</f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2"/>
      <c r="C52" s="24"/>
      <c r="D52" s="29"/>
      <c r="E52" s="22"/>
      <c r="F52" s="24"/>
      <c r="G52" s="32"/>
      <c r="H52" s="22"/>
      <c r="I52" s="24"/>
      <c r="J52" s="32"/>
      <c r="K52" s="48"/>
      <c r="L52" s="50"/>
      <c r="M52" s="38"/>
      <c r="N52" s="38"/>
      <c r="O52" s="3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55"/>
      <c r="C53" s="56"/>
      <c r="D53" s="58"/>
      <c r="E53" s="55"/>
      <c r="F53" s="56"/>
      <c r="G53" s="60"/>
      <c r="H53" s="55"/>
      <c r="I53" s="56"/>
      <c r="J53" s="60"/>
      <c r="K53" s="62"/>
      <c r="L53" s="63"/>
      <c r="M53" s="44"/>
      <c r="N53" s="44"/>
      <c r="O53" s="44"/>
      <c r="P53" s="6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55"/>
      <c r="C54" s="56"/>
      <c r="D54" s="58"/>
      <c r="E54" s="55"/>
      <c r="F54" s="56"/>
      <c r="G54" s="60"/>
      <c r="H54" s="55"/>
      <c r="I54" s="56"/>
      <c r="J54" s="60"/>
      <c r="K54" s="62"/>
      <c r="L54" s="63"/>
      <c r="M54" s="44"/>
      <c r="N54" s="44"/>
      <c r="O54" s="44"/>
      <c r="P54" s="6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55"/>
      <c r="C55" s="69"/>
      <c r="D55" s="71"/>
      <c r="E55" s="55"/>
      <c r="F55" s="69"/>
      <c r="G55" s="60"/>
      <c r="H55" s="55"/>
      <c r="I55" s="69"/>
      <c r="J55" s="60"/>
      <c r="K55" s="62"/>
      <c r="L55" s="63"/>
      <c r="M55" s="44"/>
      <c r="N55" s="44"/>
      <c r="O55" s="44"/>
      <c r="P55" s="6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72"/>
      <c r="C56" s="73"/>
      <c r="D56" s="65"/>
      <c r="E56" s="72"/>
      <c r="F56" s="73"/>
      <c r="G56" s="65"/>
      <c r="H56" s="72"/>
      <c r="I56" s="73"/>
      <c r="J56" s="65"/>
      <c r="K56" s="75"/>
      <c r="L56" s="77"/>
      <c r="M56" s="44"/>
      <c r="N56" s="44"/>
      <c r="O56" s="44"/>
      <c r="P56" s="6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77"/>
      <c r="M57" s="44"/>
      <c r="N57" s="44"/>
      <c r="O57" s="44"/>
      <c r="P57" s="6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0"/>
      <c r="M58" s="92"/>
      <c r="N58" s="92"/>
      <c r="O58" s="92"/>
      <c r="P58" s="95">
        <f>SUMPRODUCT(VALUE(K52:K56))-(SUM(L52:L56))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2"/>
      <c r="C59" s="24"/>
      <c r="D59" s="29"/>
      <c r="E59" s="22"/>
      <c r="F59" s="24"/>
      <c r="G59" s="32"/>
      <c r="H59" s="22"/>
      <c r="I59" s="24"/>
      <c r="J59" s="32"/>
      <c r="K59" s="48"/>
      <c r="L59" s="50"/>
      <c r="M59" s="38"/>
      <c r="N59" s="38"/>
      <c r="O59" s="38"/>
      <c r="P59" s="9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55"/>
      <c r="C60" s="56"/>
      <c r="D60" s="58"/>
      <c r="E60" s="55"/>
      <c r="F60" s="56"/>
      <c r="G60" s="60"/>
      <c r="H60" s="55"/>
      <c r="I60" s="56"/>
      <c r="J60" s="60"/>
      <c r="K60" s="62"/>
      <c r="L60" s="63"/>
      <c r="M60" s="44"/>
      <c r="N60" s="44"/>
      <c r="O60" s="44"/>
      <c r="P60" s="6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55"/>
      <c r="C61" s="56"/>
      <c r="D61" s="58"/>
      <c r="E61" s="55"/>
      <c r="F61" s="56"/>
      <c r="G61" s="60"/>
      <c r="H61" s="55"/>
      <c r="I61" s="56"/>
      <c r="J61" s="60"/>
      <c r="K61" s="62"/>
      <c r="L61" s="63"/>
      <c r="M61" s="44"/>
      <c r="N61" s="44"/>
      <c r="O61" s="44"/>
      <c r="P61" s="6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55"/>
      <c r="C62" s="69"/>
      <c r="D62" s="71"/>
      <c r="E62" s="55"/>
      <c r="F62" s="69"/>
      <c r="G62" s="60"/>
      <c r="H62" s="55"/>
      <c r="I62" s="69"/>
      <c r="J62" s="60"/>
      <c r="K62" s="62"/>
      <c r="L62" s="63"/>
      <c r="M62" s="44"/>
      <c r="N62" s="44"/>
      <c r="O62" s="44"/>
      <c r="P62" s="6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72"/>
      <c r="C63" s="73"/>
      <c r="D63" s="65"/>
      <c r="E63" s="72"/>
      <c r="F63" s="73"/>
      <c r="G63" s="65"/>
      <c r="H63" s="72"/>
      <c r="I63" s="73"/>
      <c r="J63" s="65"/>
      <c r="K63" s="75"/>
      <c r="L63" s="77"/>
      <c r="M63" s="44"/>
      <c r="N63" s="44"/>
      <c r="O63" s="44"/>
      <c r="P63" s="6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77"/>
      <c r="M64" s="44"/>
      <c r="N64" s="44"/>
      <c r="O64" s="44"/>
      <c r="P64" s="6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0"/>
      <c r="M65" s="92"/>
      <c r="N65" s="92"/>
      <c r="O65" s="92"/>
      <c r="P65" s="95">
        <f>SUMPRODUCT(VALUE(K59:K63))-(SUM(L59:L63))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2"/>
      <c r="C66" s="24"/>
      <c r="D66" s="29"/>
      <c r="E66" s="22"/>
      <c r="F66" s="24"/>
      <c r="G66" s="32"/>
      <c r="H66" s="22"/>
      <c r="I66" s="24"/>
      <c r="J66" s="32"/>
      <c r="K66" s="48"/>
      <c r="L66" s="50"/>
      <c r="M66" s="38"/>
      <c r="N66" s="38"/>
      <c r="O66" s="38"/>
      <c r="P66" s="9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55"/>
      <c r="C67" s="56"/>
      <c r="D67" s="58"/>
      <c r="E67" s="55"/>
      <c r="F67" s="56"/>
      <c r="G67" s="60"/>
      <c r="H67" s="55"/>
      <c r="I67" s="56"/>
      <c r="J67" s="60"/>
      <c r="K67" s="62"/>
      <c r="L67" s="63"/>
      <c r="M67" s="44"/>
      <c r="N67" s="44"/>
      <c r="O67" s="44"/>
      <c r="P67" s="6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55"/>
      <c r="C68" s="56"/>
      <c r="D68" s="58"/>
      <c r="E68" s="55"/>
      <c r="F68" s="56"/>
      <c r="G68" s="60"/>
      <c r="H68" s="55"/>
      <c r="I68" s="56"/>
      <c r="J68" s="60"/>
      <c r="K68" s="62"/>
      <c r="L68" s="63"/>
      <c r="M68" s="44"/>
      <c r="N68" s="44"/>
      <c r="O68" s="44"/>
      <c r="P68" s="6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55"/>
      <c r="C69" s="69"/>
      <c r="D69" s="71"/>
      <c r="E69" s="55"/>
      <c r="F69" s="69"/>
      <c r="G69" s="60"/>
      <c r="H69" s="55"/>
      <c r="I69" s="69"/>
      <c r="J69" s="60"/>
      <c r="K69" s="62"/>
      <c r="L69" s="63"/>
      <c r="M69" s="44"/>
      <c r="N69" s="44"/>
      <c r="O69" s="44"/>
      <c r="P69" s="6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72"/>
      <c r="C70" s="73"/>
      <c r="D70" s="65"/>
      <c r="E70" s="72"/>
      <c r="F70" s="73"/>
      <c r="G70" s="65"/>
      <c r="H70" s="72"/>
      <c r="I70" s="73"/>
      <c r="J70" s="65"/>
      <c r="K70" s="75"/>
      <c r="L70" s="77"/>
      <c r="M70" s="44"/>
      <c r="N70" s="44"/>
      <c r="O70" s="44"/>
      <c r="P70" s="6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77"/>
      <c r="M71" s="44"/>
      <c r="N71" s="44"/>
      <c r="O71" s="44"/>
      <c r="P71" s="6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0"/>
      <c r="M72" s="92"/>
      <c r="N72" s="92"/>
      <c r="O72" s="92"/>
      <c r="P72" s="95">
        <f>SUMPRODUCT(VALUE(K66:K70))-(SUM(L66:L70))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2"/>
      <c r="C73" s="24"/>
      <c r="D73" s="29"/>
      <c r="E73" s="22"/>
      <c r="F73" s="24"/>
      <c r="G73" s="32"/>
      <c r="H73" s="22"/>
      <c r="I73" s="24"/>
      <c r="J73" s="32"/>
      <c r="K73" s="48"/>
      <c r="L73" s="50"/>
      <c r="M73" s="38"/>
      <c r="N73" s="38"/>
      <c r="O73" s="38"/>
      <c r="P73" s="9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55"/>
      <c r="C74" s="56"/>
      <c r="D74" s="58"/>
      <c r="E74" s="55"/>
      <c r="F74" s="56"/>
      <c r="G74" s="60"/>
      <c r="H74" s="55"/>
      <c r="I74" s="56"/>
      <c r="J74" s="60"/>
      <c r="K74" s="62"/>
      <c r="L74" s="63"/>
      <c r="M74" s="44"/>
      <c r="N74" s="44"/>
      <c r="O74" s="44"/>
      <c r="P74" s="6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55"/>
      <c r="C75" s="56"/>
      <c r="D75" s="58"/>
      <c r="E75" s="55"/>
      <c r="F75" s="56"/>
      <c r="G75" s="60"/>
      <c r="H75" s="55"/>
      <c r="I75" s="56"/>
      <c r="J75" s="60"/>
      <c r="K75" s="62"/>
      <c r="L75" s="63"/>
      <c r="M75" s="44"/>
      <c r="N75" s="44"/>
      <c r="O75" s="44"/>
      <c r="P75" s="6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55"/>
      <c r="C76" s="69"/>
      <c r="D76" s="71"/>
      <c r="E76" s="55"/>
      <c r="F76" s="69"/>
      <c r="G76" s="60"/>
      <c r="H76" s="55"/>
      <c r="I76" s="69"/>
      <c r="J76" s="60"/>
      <c r="K76" s="62"/>
      <c r="L76" s="63"/>
      <c r="M76" s="44"/>
      <c r="N76" s="44"/>
      <c r="O76" s="44"/>
      <c r="P76" s="6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72"/>
      <c r="C77" s="73"/>
      <c r="D77" s="65"/>
      <c r="E77" s="72"/>
      <c r="F77" s="73"/>
      <c r="G77" s="65"/>
      <c r="H77" s="72"/>
      <c r="I77" s="73"/>
      <c r="J77" s="65"/>
      <c r="K77" s="75"/>
      <c r="L77" s="77"/>
      <c r="M77" s="44"/>
      <c r="N77" s="44"/>
      <c r="O77" s="44"/>
      <c r="P77" s="6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77"/>
      <c r="M78" s="44"/>
      <c r="N78" s="44"/>
      <c r="O78" s="44"/>
      <c r="P78" s="6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0"/>
      <c r="M79" s="92"/>
      <c r="N79" s="92"/>
      <c r="O79" s="92"/>
      <c r="P79" s="95">
        <f>SUMPRODUCT(VALUE(K73:K77))-(SUM(L73:L77))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2"/>
      <c r="C80" s="24"/>
      <c r="D80" s="29"/>
      <c r="E80" s="22"/>
      <c r="F80" s="24"/>
      <c r="G80" s="32"/>
      <c r="H80" s="22"/>
      <c r="I80" s="24"/>
      <c r="J80" s="32"/>
      <c r="K80" s="48"/>
      <c r="L80" s="50"/>
      <c r="M80" s="38"/>
      <c r="N80" s="38"/>
      <c r="O80" s="38"/>
      <c r="P80" s="9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55"/>
      <c r="C81" s="56"/>
      <c r="D81" s="58"/>
      <c r="E81" s="55"/>
      <c r="F81" s="56"/>
      <c r="G81" s="60"/>
      <c r="H81" s="55"/>
      <c r="I81" s="56"/>
      <c r="J81" s="60"/>
      <c r="K81" s="62"/>
      <c r="L81" s="63"/>
      <c r="M81" s="44"/>
      <c r="N81" s="44"/>
      <c r="O81" s="44"/>
      <c r="P81" s="6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55"/>
      <c r="C82" s="56"/>
      <c r="D82" s="58"/>
      <c r="E82" s="55"/>
      <c r="F82" s="56"/>
      <c r="G82" s="60"/>
      <c r="H82" s="55"/>
      <c r="I82" s="56"/>
      <c r="J82" s="60"/>
      <c r="K82" s="62"/>
      <c r="L82" s="63"/>
      <c r="M82" s="44"/>
      <c r="N82" s="44"/>
      <c r="O82" s="44"/>
      <c r="P82" s="6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55"/>
      <c r="C83" s="69"/>
      <c r="D83" s="71"/>
      <c r="E83" s="55"/>
      <c r="F83" s="69"/>
      <c r="G83" s="60"/>
      <c r="H83" s="55"/>
      <c r="I83" s="69"/>
      <c r="J83" s="60"/>
      <c r="K83" s="62"/>
      <c r="L83" s="63"/>
      <c r="M83" s="44"/>
      <c r="N83" s="44"/>
      <c r="O83" s="44"/>
      <c r="P83" s="6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72"/>
      <c r="C84" s="73"/>
      <c r="D84" s="65"/>
      <c r="E84" s="72"/>
      <c r="F84" s="73"/>
      <c r="G84" s="65"/>
      <c r="H84" s="72"/>
      <c r="I84" s="73"/>
      <c r="J84" s="65"/>
      <c r="K84" s="75"/>
      <c r="L84" s="77"/>
      <c r="M84" s="44"/>
      <c r="N84" s="44"/>
      <c r="O84" s="44"/>
      <c r="P84" s="6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77"/>
      <c r="M85" s="44"/>
      <c r="N85" s="44"/>
      <c r="O85" s="44"/>
      <c r="P85" s="6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0"/>
      <c r="M86" s="92"/>
      <c r="N86" s="92"/>
      <c r="O86" s="92"/>
      <c r="P86" s="95">
        <f>SUMPRODUCT(VALUE(K80:K84))-(SUM(L80:L84))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2"/>
      <c r="C87" s="24"/>
      <c r="D87" s="29"/>
      <c r="E87" s="22"/>
      <c r="F87" s="24"/>
      <c r="G87" s="32"/>
      <c r="H87" s="22"/>
      <c r="I87" s="24"/>
      <c r="J87" s="32"/>
      <c r="K87" s="48"/>
      <c r="L87" s="50"/>
      <c r="M87" s="38"/>
      <c r="N87" s="38"/>
      <c r="O87" s="38"/>
      <c r="P87" s="9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55"/>
      <c r="C88" s="56"/>
      <c r="D88" s="58"/>
      <c r="E88" s="55"/>
      <c r="F88" s="56"/>
      <c r="G88" s="60"/>
      <c r="H88" s="55"/>
      <c r="I88" s="56"/>
      <c r="J88" s="60"/>
      <c r="K88" s="62"/>
      <c r="L88" s="63"/>
      <c r="M88" s="44"/>
      <c r="N88" s="44"/>
      <c r="O88" s="44"/>
      <c r="P88" s="6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55"/>
      <c r="C89" s="56"/>
      <c r="D89" s="58"/>
      <c r="E89" s="55"/>
      <c r="F89" s="56"/>
      <c r="G89" s="60"/>
      <c r="H89" s="55"/>
      <c r="I89" s="56"/>
      <c r="J89" s="60"/>
      <c r="K89" s="62"/>
      <c r="L89" s="63"/>
      <c r="M89" s="44"/>
      <c r="N89" s="44"/>
      <c r="O89" s="44"/>
      <c r="P89" s="6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55"/>
      <c r="C90" s="69"/>
      <c r="D90" s="71"/>
      <c r="E90" s="55"/>
      <c r="F90" s="69"/>
      <c r="G90" s="60"/>
      <c r="H90" s="55"/>
      <c r="I90" s="69"/>
      <c r="J90" s="60"/>
      <c r="K90" s="62"/>
      <c r="L90" s="63"/>
      <c r="M90" s="44"/>
      <c r="N90" s="44"/>
      <c r="O90" s="44"/>
      <c r="P90" s="6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72"/>
      <c r="C91" s="73"/>
      <c r="D91" s="65"/>
      <c r="E91" s="72"/>
      <c r="F91" s="73"/>
      <c r="G91" s="65"/>
      <c r="H91" s="72"/>
      <c r="I91" s="73"/>
      <c r="J91" s="65"/>
      <c r="K91" s="75"/>
      <c r="L91" s="77"/>
      <c r="M91" s="44"/>
      <c r="N91" s="44"/>
      <c r="O91" s="44"/>
      <c r="P91" s="6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77"/>
      <c r="M92" s="44"/>
      <c r="N92" s="44"/>
      <c r="O92" s="44"/>
      <c r="P92" s="6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0"/>
      <c r="M93" s="92"/>
      <c r="N93" s="92"/>
      <c r="O93" s="92"/>
      <c r="P93" s="95">
        <f>SUMPRODUCT(VALUE(K87:K91))-(SUM(L87:L91))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2"/>
      <c r="C94" s="24"/>
      <c r="D94" s="29"/>
      <c r="E94" s="22"/>
      <c r="F94" s="24"/>
      <c r="G94" s="32"/>
      <c r="H94" s="22"/>
      <c r="I94" s="24"/>
      <c r="J94" s="32"/>
      <c r="K94" s="48"/>
      <c r="L94" s="50"/>
      <c r="M94" s="38"/>
      <c r="N94" s="38"/>
      <c r="O94" s="38"/>
      <c r="P94" s="9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55"/>
      <c r="C95" s="56"/>
      <c r="D95" s="58"/>
      <c r="E95" s="55"/>
      <c r="F95" s="56"/>
      <c r="G95" s="60"/>
      <c r="H95" s="55"/>
      <c r="I95" s="56"/>
      <c r="J95" s="60"/>
      <c r="K95" s="62"/>
      <c r="L95" s="63"/>
      <c r="M95" s="44"/>
      <c r="N95" s="44"/>
      <c r="O95" s="44"/>
      <c r="P95" s="6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55"/>
      <c r="C96" s="56"/>
      <c r="D96" s="58"/>
      <c r="E96" s="55"/>
      <c r="F96" s="56"/>
      <c r="G96" s="60"/>
      <c r="H96" s="55"/>
      <c r="I96" s="56"/>
      <c r="J96" s="60"/>
      <c r="K96" s="62"/>
      <c r="L96" s="63"/>
      <c r="M96" s="44"/>
      <c r="N96" s="44"/>
      <c r="O96" s="44"/>
      <c r="P96" s="6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55"/>
      <c r="C97" s="69"/>
      <c r="D97" s="71"/>
      <c r="E97" s="55"/>
      <c r="F97" s="69"/>
      <c r="G97" s="60"/>
      <c r="H97" s="55"/>
      <c r="I97" s="69"/>
      <c r="J97" s="60"/>
      <c r="K97" s="62"/>
      <c r="L97" s="63"/>
      <c r="M97" s="44"/>
      <c r="N97" s="44"/>
      <c r="O97" s="44"/>
      <c r="P97" s="6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72"/>
      <c r="C98" s="73"/>
      <c r="D98" s="65"/>
      <c r="E98" s="72"/>
      <c r="F98" s="73"/>
      <c r="G98" s="65"/>
      <c r="H98" s="72"/>
      <c r="I98" s="73"/>
      <c r="J98" s="65"/>
      <c r="K98" s="75"/>
      <c r="L98" s="77"/>
      <c r="M98" s="44"/>
      <c r="N98" s="44"/>
      <c r="O98" s="44"/>
      <c r="P98" s="6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77"/>
      <c r="M99" s="44"/>
      <c r="N99" s="44"/>
      <c r="O99" s="44"/>
      <c r="P99" s="6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0"/>
      <c r="M100" s="92"/>
      <c r="N100" s="92"/>
      <c r="O100" s="92"/>
      <c r="P100" s="95">
        <f>SUMPRODUCT(VALUE(K94:K98))-(SUM(L94:L98))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2"/>
      <c r="C101" s="24"/>
      <c r="D101" s="29"/>
      <c r="E101" s="22"/>
      <c r="F101" s="24"/>
      <c r="G101" s="32"/>
      <c r="H101" s="22"/>
      <c r="I101" s="24"/>
      <c r="J101" s="32"/>
      <c r="K101" s="48"/>
      <c r="L101" s="50"/>
      <c r="M101" s="38"/>
      <c r="N101" s="38"/>
      <c r="O101" s="38"/>
      <c r="P101" s="9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55"/>
      <c r="C102" s="56"/>
      <c r="D102" s="58"/>
      <c r="E102" s="55"/>
      <c r="F102" s="56"/>
      <c r="G102" s="60"/>
      <c r="H102" s="55"/>
      <c r="I102" s="56"/>
      <c r="J102" s="60"/>
      <c r="K102" s="62"/>
      <c r="L102" s="63"/>
      <c r="M102" s="44"/>
      <c r="N102" s="44"/>
      <c r="O102" s="44"/>
      <c r="P102" s="6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55"/>
      <c r="C103" s="56"/>
      <c r="D103" s="58"/>
      <c r="E103" s="55"/>
      <c r="F103" s="56"/>
      <c r="G103" s="60"/>
      <c r="H103" s="55"/>
      <c r="I103" s="56"/>
      <c r="J103" s="60"/>
      <c r="K103" s="62"/>
      <c r="L103" s="63"/>
      <c r="M103" s="44"/>
      <c r="N103" s="44"/>
      <c r="O103" s="44"/>
      <c r="P103" s="6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55"/>
      <c r="C104" s="69"/>
      <c r="D104" s="71"/>
      <c r="E104" s="55"/>
      <c r="F104" s="69"/>
      <c r="G104" s="60"/>
      <c r="H104" s="55"/>
      <c r="I104" s="69"/>
      <c r="J104" s="60"/>
      <c r="K104" s="62"/>
      <c r="L104" s="63"/>
      <c r="M104" s="44"/>
      <c r="N104" s="44"/>
      <c r="O104" s="44"/>
      <c r="P104" s="6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72"/>
      <c r="C105" s="73"/>
      <c r="D105" s="65"/>
      <c r="E105" s="72"/>
      <c r="F105" s="73"/>
      <c r="G105" s="65"/>
      <c r="H105" s="72"/>
      <c r="I105" s="73"/>
      <c r="J105" s="65"/>
      <c r="K105" s="75"/>
      <c r="L105" s="77"/>
      <c r="M105" s="44"/>
      <c r="N105" s="44"/>
      <c r="O105" s="44"/>
      <c r="P105" s="6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77"/>
      <c r="M106" s="44"/>
      <c r="N106" s="44"/>
      <c r="O106" s="44"/>
      <c r="P106" s="6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0"/>
      <c r="M107" s="92"/>
      <c r="N107" s="92"/>
      <c r="O107" s="92"/>
      <c r="P107" s="95">
        <f>SUMPRODUCT(VALUE(K101:K105))-(SUM(L101:L105))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2"/>
      <c r="C108" s="24"/>
      <c r="D108" s="29"/>
      <c r="E108" s="22"/>
      <c r="F108" s="24"/>
      <c r="G108" s="32"/>
      <c r="H108" s="22"/>
      <c r="I108" s="24"/>
      <c r="J108" s="32"/>
      <c r="K108" s="48"/>
      <c r="L108" s="50"/>
      <c r="M108" s="38"/>
      <c r="N108" s="38"/>
      <c r="O108" s="38"/>
      <c r="P108" s="9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55"/>
      <c r="C109" s="56"/>
      <c r="D109" s="58"/>
      <c r="E109" s="55"/>
      <c r="F109" s="56"/>
      <c r="G109" s="60"/>
      <c r="H109" s="55"/>
      <c r="I109" s="56"/>
      <c r="J109" s="60"/>
      <c r="K109" s="62"/>
      <c r="L109" s="63"/>
      <c r="M109" s="44"/>
      <c r="N109" s="44"/>
      <c r="O109" s="44"/>
      <c r="P109" s="6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55"/>
      <c r="C110" s="56"/>
      <c r="D110" s="58"/>
      <c r="E110" s="55"/>
      <c r="F110" s="56"/>
      <c r="G110" s="60"/>
      <c r="H110" s="55"/>
      <c r="I110" s="56"/>
      <c r="J110" s="60"/>
      <c r="K110" s="62"/>
      <c r="L110" s="63"/>
      <c r="M110" s="44"/>
      <c r="N110" s="44"/>
      <c r="O110" s="44"/>
      <c r="P110" s="6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55"/>
      <c r="C111" s="69"/>
      <c r="D111" s="71"/>
      <c r="E111" s="55"/>
      <c r="F111" s="69"/>
      <c r="G111" s="60"/>
      <c r="H111" s="55"/>
      <c r="I111" s="69"/>
      <c r="J111" s="60"/>
      <c r="K111" s="62"/>
      <c r="L111" s="63"/>
      <c r="M111" s="44"/>
      <c r="N111" s="44"/>
      <c r="O111" s="44"/>
      <c r="P111" s="6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72"/>
      <c r="C112" s="73"/>
      <c r="D112" s="65"/>
      <c r="E112" s="72"/>
      <c r="F112" s="73"/>
      <c r="G112" s="65"/>
      <c r="H112" s="72"/>
      <c r="I112" s="73"/>
      <c r="J112" s="65"/>
      <c r="K112" s="75"/>
      <c r="L112" s="77"/>
      <c r="M112" s="44"/>
      <c r="N112" s="44"/>
      <c r="O112" s="44"/>
      <c r="P112" s="6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77"/>
      <c r="M113" s="44"/>
      <c r="N113" s="44"/>
      <c r="O113" s="44"/>
      <c r="P113" s="6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0"/>
      <c r="M114" s="92"/>
      <c r="N114" s="92"/>
      <c r="O114" s="92"/>
      <c r="P114" s="95">
        <f>SUMPRODUCT(VALUE(K108:K112))-(SUM(L108:L112))</f>
        <v>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2"/>
      <c r="C115" s="24"/>
      <c r="D115" s="29"/>
      <c r="E115" s="22"/>
      <c r="F115" s="24"/>
      <c r="G115" s="32"/>
      <c r="H115" s="22"/>
      <c r="I115" s="24"/>
      <c r="J115" s="32"/>
      <c r="K115" s="48"/>
      <c r="L115" s="50"/>
      <c r="M115" s="38"/>
      <c r="N115" s="38"/>
      <c r="O115" s="38"/>
      <c r="P115" s="9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55"/>
      <c r="C116" s="56"/>
      <c r="D116" s="58"/>
      <c r="E116" s="55"/>
      <c r="F116" s="56"/>
      <c r="G116" s="60"/>
      <c r="H116" s="55"/>
      <c r="I116" s="56"/>
      <c r="J116" s="60"/>
      <c r="K116" s="62"/>
      <c r="L116" s="63"/>
      <c r="M116" s="44"/>
      <c r="N116" s="44"/>
      <c r="O116" s="44"/>
      <c r="P116" s="6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55"/>
      <c r="C117" s="56"/>
      <c r="D117" s="58"/>
      <c r="E117" s="55"/>
      <c r="F117" s="56"/>
      <c r="G117" s="60"/>
      <c r="H117" s="55"/>
      <c r="I117" s="56"/>
      <c r="J117" s="60"/>
      <c r="K117" s="62"/>
      <c r="L117" s="63"/>
      <c r="M117" s="44"/>
      <c r="N117" s="44"/>
      <c r="O117" s="44"/>
      <c r="P117" s="6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55"/>
      <c r="C118" s="69"/>
      <c r="D118" s="71"/>
      <c r="E118" s="55"/>
      <c r="F118" s="69"/>
      <c r="G118" s="60"/>
      <c r="H118" s="55"/>
      <c r="I118" s="69"/>
      <c r="J118" s="60"/>
      <c r="K118" s="62"/>
      <c r="L118" s="63"/>
      <c r="M118" s="44"/>
      <c r="N118" s="44"/>
      <c r="O118" s="44"/>
      <c r="P118" s="6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72"/>
      <c r="C119" s="73"/>
      <c r="D119" s="65"/>
      <c r="E119" s="72"/>
      <c r="F119" s="73"/>
      <c r="G119" s="65"/>
      <c r="H119" s="72"/>
      <c r="I119" s="73"/>
      <c r="J119" s="65"/>
      <c r="K119" s="75"/>
      <c r="L119" s="77"/>
      <c r="M119" s="44"/>
      <c r="N119" s="44"/>
      <c r="O119" s="44"/>
      <c r="P119" s="6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77"/>
      <c r="M120" s="44"/>
      <c r="N120" s="44"/>
      <c r="O120" s="44"/>
      <c r="P120" s="6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0"/>
      <c r="M121" s="92"/>
      <c r="N121" s="92"/>
      <c r="O121" s="92"/>
      <c r="P121" s="95">
        <f>SUMPRODUCT(VALUE(K115:K119))-(SUM(L115:L119))</f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2"/>
      <c r="C122" s="24"/>
      <c r="D122" s="29"/>
      <c r="E122" s="22"/>
      <c r="F122" s="24"/>
      <c r="G122" s="32"/>
      <c r="H122" s="22"/>
      <c r="I122" s="24"/>
      <c r="J122" s="32"/>
      <c r="K122" s="48"/>
      <c r="L122" s="50"/>
      <c r="M122" s="38"/>
      <c r="N122" s="38"/>
      <c r="O122" s="38"/>
      <c r="P122" s="9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55"/>
      <c r="C123" s="56"/>
      <c r="D123" s="58"/>
      <c r="E123" s="55"/>
      <c r="F123" s="56"/>
      <c r="G123" s="60"/>
      <c r="H123" s="55"/>
      <c r="I123" s="56"/>
      <c r="J123" s="60"/>
      <c r="K123" s="62"/>
      <c r="L123" s="63"/>
      <c r="M123" s="44"/>
      <c r="N123" s="44"/>
      <c r="O123" s="44"/>
      <c r="P123" s="6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55"/>
      <c r="C124" s="56"/>
      <c r="D124" s="58"/>
      <c r="E124" s="55"/>
      <c r="F124" s="56"/>
      <c r="G124" s="60"/>
      <c r="H124" s="55"/>
      <c r="I124" s="56"/>
      <c r="J124" s="60"/>
      <c r="K124" s="62"/>
      <c r="L124" s="63"/>
      <c r="M124" s="44"/>
      <c r="N124" s="44"/>
      <c r="O124" s="44"/>
      <c r="P124" s="6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55"/>
      <c r="C125" s="69"/>
      <c r="D125" s="71"/>
      <c r="E125" s="55"/>
      <c r="F125" s="69"/>
      <c r="G125" s="60"/>
      <c r="H125" s="55"/>
      <c r="I125" s="69"/>
      <c r="J125" s="60"/>
      <c r="K125" s="62"/>
      <c r="L125" s="63"/>
      <c r="M125" s="44"/>
      <c r="N125" s="44"/>
      <c r="O125" s="44"/>
      <c r="P125" s="6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72"/>
      <c r="C126" s="73"/>
      <c r="D126" s="65"/>
      <c r="E126" s="72"/>
      <c r="F126" s="73"/>
      <c r="G126" s="65"/>
      <c r="H126" s="72"/>
      <c r="I126" s="73"/>
      <c r="J126" s="65"/>
      <c r="K126" s="75"/>
      <c r="L126" s="77"/>
      <c r="M126" s="44"/>
      <c r="N126" s="44"/>
      <c r="O126" s="44"/>
      <c r="P126" s="6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77"/>
      <c r="M127" s="44"/>
      <c r="N127" s="44"/>
      <c r="O127" s="44"/>
      <c r="P127" s="6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0"/>
      <c r="M128" s="92"/>
      <c r="N128" s="92"/>
      <c r="O128" s="92"/>
      <c r="P128" s="95">
        <f>SUMPRODUCT(VALUE(K122:K126))-(SUM(L122:L126))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2"/>
      <c r="C129" s="24"/>
      <c r="D129" s="29"/>
      <c r="E129" s="22"/>
      <c r="F129" s="24"/>
      <c r="G129" s="32"/>
      <c r="H129" s="22"/>
      <c r="I129" s="24"/>
      <c r="J129" s="32"/>
      <c r="K129" s="48"/>
      <c r="L129" s="50"/>
      <c r="M129" s="38"/>
      <c r="N129" s="38"/>
      <c r="O129" s="38"/>
      <c r="P129" s="9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55"/>
      <c r="C130" s="56"/>
      <c r="D130" s="58"/>
      <c r="E130" s="55"/>
      <c r="F130" s="56"/>
      <c r="G130" s="60"/>
      <c r="H130" s="55"/>
      <c r="I130" s="56"/>
      <c r="J130" s="60"/>
      <c r="K130" s="62"/>
      <c r="L130" s="63"/>
      <c r="M130" s="44"/>
      <c r="N130" s="44"/>
      <c r="O130" s="44"/>
      <c r="P130" s="6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55"/>
      <c r="C131" s="56"/>
      <c r="D131" s="58"/>
      <c r="E131" s="55"/>
      <c r="F131" s="56"/>
      <c r="G131" s="60"/>
      <c r="H131" s="55"/>
      <c r="I131" s="56"/>
      <c r="J131" s="60"/>
      <c r="K131" s="62"/>
      <c r="L131" s="63"/>
      <c r="M131" s="44"/>
      <c r="N131" s="44"/>
      <c r="O131" s="44"/>
      <c r="P131" s="6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55"/>
      <c r="C132" s="69"/>
      <c r="D132" s="71"/>
      <c r="E132" s="55"/>
      <c r="F132" s="69"/>
      <c r="G132" s="60"/>
      <c r="H132" s="55"/>
      <c r="I132" s="69"/>
      <c r="J132" s="60"/>
      <c r="K132" s="62"/>
      <c r="L132" s="63"/>
      <c r="M132" s="44"/>
      <c r="N132" s="44"/>
      <c r="O132" s="44"/>
      <c r="P132" s="6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72"/>
      <c r="C133" s="73"/>
      <c r="D133" s="65"/>
      <c r="E133" s="72"/>
      <c r="F133" s="73"/>
      <c r="G133" s="65"/>
      <c r="H133" s="72"/>
      <c r="I133" s="73"/>
      <c r="J133" s="65"/>
      <c r="K133" s="75"/>
      <c r="L133" s="77"/>
      <c r="M133" s="44"/>
      <c r="N133" s="44"/>
      <c r="O133" s="44"/>
      <c r="P133" s="6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77"/>
      <c r="M134" s="44"/>
      <c r="N134" s="44"/>
      <c r="O134" s="44"/>
      <c r="P134" s="6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0"/>
      <c r="M135" s="92"/>
      <c r="N135" s="92"/>
      <c r="O135" s="92"/>
      <c r="P135" s="95">
        <f>SUMPRODUCT(VALUE(K129:K133))-(SUM(L129:L133))</f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2"/>
      <c r="C136" s="24"/>
      <c r="D136" s="29"/>
      <c r="E136" s="22"/>
      <c r="F136" s="24"/>
      <c r="G136" s="32"/>
      <c r="H136" s="22"/>
      <c r="I136" s="24"/>
      <c r="J136" s="32"/>
      <c r="K136" s="48"/>
      <c r="L136" s="50"/>
      <c r="M136" s="38"/>
      <c r="N136" s="38"/>
      <c r="O136" s="38"/>
      <c r="P136" s="9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55"/>
      <c r="C137" s="56"/>
      <c r="D137" s="58"/>
      <c r="E137" s="55"/>
      <c r="F137" s="56"/>
      <c r="G137" s="60"/>
      <c r="H137" s="55"/>
      <c r="I137" s="56"/>
      <c r="J137" s="60"/>
      <c r="K137" s="62"/>
      <c r="L137" s="63"/>
      <c r="M137" s="44"/>
      <c r="N137" s="44"/>
      <c r="O137" s="44"/>
      <c r="P137" s="6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55"/>
      <c r="C138" s="56"/>
      <c r="D138" s="58"/>
      <c r="E138" s="55"/>
      <c r="F138" s="56"/>
      <c r="G138" s="60"/>
      <c r="H138" s="55"/>
      <c r="I138" s="56"/>
      <c r="J138" s="60"/>
      <c r="K138" s="62"/>
      <c r="L138" s="63"/>
      <c r="M138" s="44"/>
      <c r="N138" s="44"/>
      <c r="O138" s="44"/>
      <c r="P138" s="6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55"/>
      <c r="C139" s="69"/>
      <c r="D139" s="71"/>
      <c r="E139" s="55"/>
      <c r="F139" s="69"/>
      <c r="G139" s="60"/>
      <c r="H139" s="55"/>
      <c r="I139" s="69"/>
      <c r="J139" s="60"/>
      <c r="K139" s="62"/>
      <c r="L139" s="63"/>
      <c r="M139" s="44"/>
      <c r="N139" s="44"/>
      <c r="O139" s="44"/>
      <c r="P139" s="6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72"/>
      <c r="C140" s="73"/>
      <c r="D140" s="65"/>
      <c r="E140" s="72"/>
      <c r="F140" s="73"/>
      <c r="G140" s="65"/>
      <c r="H140" s="72"/>
      <c r="I140" s="73"/>
      <c r="J140" s="65"/>
      <c r="K140" s="75"/>
      <c r="L140" s="77"/>
      <c r="M140" s="44"/>
      <c r="N140" s="44"/>
      <c r="O140" s="44"/>
      <c r="P140" s="6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77"/>
      <c r="M141" s="44"/>
      <c r="N141" s="44"/>
      <c r="O141" s="44"/>
      <c r="P141" s="6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0"/>
      <c r="M142" s="92"/>
      <c r="N142" s="92"/>
      <c r="O142" s="92"/>
      <c r="P142" s="95">
        <f>SUMPRODUCT(VALUE(K136:K140))-(SUM(L136:L140))</f>
        <v>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2"/>
      <c r="C143" s="24"/>
      <c r="D143" s="29"/>
      <c r="E143" s="22"/>
      <c r="F143" s="24"/>
      <c r="G143" s="32"/>
      <c r="H143" s="22"/>
      <c r="I143" s="24"/>
      <c r="J143" s="32"/>
      <c r="K143" s="48"/>
      <c r="L143" s="50"/>
      <c r="M143" s="38"/>
      <c r="N143" s="38"/>
      <c r="O143" s="38"/>
      <c r="P143" s="9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55"/>
      <c r="C144" s="56"/>
      <c r="D144" s="58"/>
      <c r="E144" s="55"/>
      <c r="F144" s="56"/>
      <c r="G144" s="60"/>
      <c r="H144" s="55"/>
      <c r="I144" s="56"/>
      <c r="J144" s="60"/>
      <c r="K144" s="62"/>
      <c r="L144" s="63"/>
      <c r="M144" s="44"/>
      <c r="N144" s="44"/>
      <c r="O144" s="44"/>
      <c r="P144" s="6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55"/>
      <c r="C145" s="56"/>
      <c r="D145" s="58"/>
      <c r="E145" s="55"/>
      <c r="F145" s="56"/>
      <c r="G145" s="60"/>
      <c r="H145" s="55"/>
      <c r="I145" s="56"/>
      <c r="J145" s="60"/>
      <c r="K145" s="62"/>
      <c r="L145" s="63"/>
      <c r="M145" s="44"/>
      <c r="N145" s="44"/>
      <c r="O145" s="44"/>
      <c r="P145" s="6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55"/>
      <c r="C146" s="69"/>
      <c r="D146" s="71"/>
      <c r="E146" s="55"/>
      <c r="F146" s="69"/>
      <c r="G146" s="60"/>
      <c r="H146" s="55"/>
      <c r="I146" s="69"/>
      <c r="J146" s="60"/>
      <c r="K146" s="62"/>
      <c r="L146" s="63"/>
      <c r="M146" s="44"/>
      <c r="N146" s="44"/>
      <c r="O146" s="44"/>
      <c r="P146" s="6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72"/>
      <c r="C147" s="73"/>
      <c r="D147" s="65"/>
      <c r="E147" s="72"/>
      <c r="F147" s="73"/>
      <c r="G147" s="65"/>
      <c r="H147" s="72"/>
      <c r="I147" s="73"/>
      <c r="J147" s="65"/>
      <c r="K147" s="75"/>
      <c r="L147" s="77"/>
      <c r="M147" s="44"/>
      <c r="N147" s="44"/>
      <c r="O147" s="44"/>
      <c r="P147" s="6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77"/>
      <c r="M148" s="44"/>
      <c r="N148" s="44"/>
      <c r="O148" s="44"/>
      <c r="P148" s="6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0"/>
      <c r="M149" s="92"/>
      <c r="N149" s="92"/>
      <c r="O149" s="92"/>
      <c r="P149" s="95">
        <f>SUMPRODUCT(VALUE(K143:K147))-(SUM(L143:L147))</f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2"/>
      <c r="C150" s="24"/>
      <c r="D150" s="29"/>
      <c r="E150" s="22"/>
      <c r="F150" s="24"/>
      <c r="G150" s="32"/>
      <c r="H150" s="22"/>
      <c r="I150" s="24"/>
      <c r="J150" s="32"/>
      <c r="K150" s="48"/>
      <c r="L150" s="50"/>
      <c r="M150" s="38"/>
      <c r="N150" s="38"/>
      <c r="O150" s="38"/>
      <c r="P150" s="9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55"/>
      <c r="C151" s="56"/>
      <c r="D151" s="58"/>
      <c r="E151" s="55"/>
      <c r="F151" s="56"/>
      <c r="G151" s="60"/>
      <c r="H151" s="55"/>
      <c r="I151" s="56"/>
      <c r="J151" s="60"/>
      <c r="K151" s="62"/>
      <c r="L151" s="63"/>
      <c r="M151" s="44"/>
      <c r="N151" s="44"/>
      <c r="O151" s="44"/>
      <c r="P151" s="6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55"/>
      <c r="C152" s="56"/>
      <c r="D152" s="58"/>
      <c r="E152" s="55"/>
      <c r="F152" s="56"/>
      <c r="G152" s="60"/>
      <c r="H152" s="55"/>
      <c r="I152" s="56"/>
      <c r="J152" s="60"/>
      <c r="K152" s="62"/>
      <c r="L152" s="63"/>
      <c r="M152" s="44"/>
      <c r="N152" s="44"/>
      <c r="O152" s="44"/>
      <c r="P152" s="6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55"/>
      <c r="C153" s="69"/>
      <c r="D153" s="71"/>
      <c r="E153" s="55"/>
      <c r="F153" s="69"/>
      <c r="G153" s="60"/>
      <c r="H153" s="55"/>
      <c r="I153" s="69"/>
      <c r="J153" s="60"/>
      <c r="K153" s="62"/>
      <c r="L153" s="63"/>
      <c r="M153" s="44"/>
      <c r="N153" s="44"/>
      <c r="O153" s="44"/>
      <c r="P153" s="6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72"/>
      <c r="C154" s="73"/>
      <c r="D154" s="65"/>
      <c r="E154" s="72"/>
      <c r="F154" s="73"/>
      <c r="G154" s="65"/>
      <c r="H154" s="72"/>
      <c r="I154" s="73"/>
      <c r="J154" s="65"/>
      <c r="K154" s="75"/>
      <c r="L154" s="77"/>
      <c r="M154" s="44"/>
      <c r="N154" s="44"/>
      <c r="O154" s="44"/>
      <c r="P154" s="6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77"/>
      <c r="M155" s="44"/>
      <c r="N155" s="44"/>
      <c r="O155" s="44"/>
      <c r="P155" s="6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0"/>
      <c r="M156" s="92"/>
      <c r="N156" s="92"/>
      <c r="O156" s="92"/>
      <c r="P156" s="95">
        <f>SUMPRODUCT(VALUE(K150:K154))-(SUM(L150:L154))</f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2"/>
      <c r="C157" s="24"/>
      <c r="D157" s="29"/>
      <c r="E157" s="22"/>
      <c r="F157" s="24"/>
      <c r="G157" s="32"/>
      <c r="H157" s="22"/>
      <c r="I157" s="24"/>
      <c r="J157" s="32"/>
      <c r="K157" s="48"/>
      <c r="L157" s="50"/>
      <c r="M157" s="38"/>
      <c r="N157" s="38"/>
      <c r="O157" s="38"/>
      <c r="P157" s="9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55"/>
      <c r="C158" s="56"/>
      <c r="D158" s="58"/>
      <c r="E158" s="55"/>
      <c r="F158" s="56"/>
      <c r="G158" s="60"/>
      <c r="H158" s="55"/>
      <c r="I158" s="56"/>
      <c r="J158" s="60"/>
      <c r="K158" s="62"/>
      <c r="L158" s="63"/>
      <c r="M158" s="44"/>
      <c r="N158" s="44"/>
      <c r="O158" s="44"/>
      <c r="P158" s="6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55"/>
      <c r="C159" s="56"/>
      <c r="D159" s="58"/>
      <c r="E159" s="55"/>
      <c r="F159" s="56"/>
      <c r="G159" s="60"/>
      <c r="H159" s="55"/>
      <c r="I159" s="56"/>
      <c r="J159" s="60"/>
      <c r="K159" s="62"/>
      <c r="L159" s="63"/>
      <c r="M159" s="44"/>
      <c r="N159" s="44"/>
      <c r="O159" s="44"/>
      <c r="P159" s="6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55"/>
      <c r="C160" s="69"/>
      <c r="D160" s="71"/>
      <c r="E160" s="55"/>
      <c r="F160" s="69"/>
      <c r="G160" s="60"/>
      <c r="H160" s="55"/>
      <c r="I160" s="69"/>
      <c r="J160" s="60"/>
      <c r="K160" s="62"/>
      <c r="L160" s="63"/>
      <c r="M160" s="44"/>
      <c r="N160" s="44"/>
      <c r="O160" s="44"/>
      <c r="P160" s="6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72"/>
      <c r="C161" s="73"/>
      <c r="D161" s="65"/>
      <c r="E161" s="72"/>
      <c r="F161" s="73"/>
      <c r="G161" s="65"/>
      <c r="H161" s="72"/>
      <c r="I161" s="73"/>
      <c r="J161" s="65"/>
      <c r="K161" s="75"/>
      <c r="L161" s="77"/>
      <c r="M161" s="44"/>
      <c r="N161" s="44"/>
      <c r="O161" s="44"/>
      <c r="P161" s="6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77"/>
      <c r="M162" s="44"/>
      <c r="N162" s="44"/>
      <c r="O162" s="44"/>
      <c r="P162" s="6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0"/>
      <c r="M163" s="92"/>
      <c r="N163" s="92"/>
      <c r="O163" s="92"/>
      <c r="P163" s="95">
        <f>SUMPRODUCT(VALUE(K157:K161))-(SUM(L157:L161))</f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2"/>
      <c r="C164" s="24"/>
      <c r="D164" s="29"/>
      <c r="E164" s="22"/>
      <c r="F164" s="24"/>
      <c r="G164" s="32"/>
      <c r="H164" s="22"/>
      <c r="I164" s="24"/>
      <c r="J164" s="32"/>
      <c r="K164" s="48"/>
      <c r="L164" s="50"/>
      <c r="M164" s="38"/>
      <c r="N164" s="38"/>
      <c r="O164" s="38"/>
      <c r="P164" s="9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55"/>
      <c r="C165" s="56"/>
      <c r="D165" s="58"/>
      <c r="E165" s="55"/>
      <c r="F165" s="56"/>
      <c r="G165" s="60"/>
      <c r="H165" s="55"/>
      <c r="I165" s="56"/>
      <c r="J165" s="60"/>
      <c r="K165" s="62"/>
      <c r="L165" s="63"/>
      <c r="M165" s="44"/>
      <c r="N165" s="44"/>
      <c r="O165" s="44"/>
      <c r="P165" s="6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55"/>
      <c r="C166" s="56"/>
      <c r="D166" s="58"/>
      <c r="E166" s="55"/>
      <c r="F166" s="56"/>
      <c r="G166" s="60"/>
      <c r="H166" s="55"/>
      <c r="I166" s="56"/>
      <c r="J166" s="60"/>
      <c r="K166" s="62"/>
      <c r="L166" s="63"/>
      <c r="M166" s="44"/>
      <c r="N166" s="44"/>
      <c r="O166" s="44"/>
      <c r="P166" s="6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55"/>
      <c r="C167" s="69"/>
      <c r="D167" s="71"/>
      <c r="E167" s="55"/>
      <c r="F167" s="69"/>
      <c r="G167" s="60"/>
      <c r="H167" s="55"/>
      <c r="I167" s="69"/>
      <c r="J167" s="60"/>
      <c r="K167" s="62"/>
      <c r="L167" s="63"/>
      <c r="M167" s="44"/>
      <c r="N167" s="44"/>
      <c r="O167" s="44"/>
      <c r="P167" s="6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72"/>
      <c r="C168" s="73"/>
      <c r="D168" s="65"/>
      <c r="E168" s="72"/>
      <c r="F168" s="73"/>
      <c r="G168" s="65"/>
      <c r="H168" s="72"/>
      <c r="I168" s="73"/>
      <c r="J168" s="65"/>
      <c r="K168" s="75"/>
      <c r="L168" s="77"/>
      <c r="M168" s="44"/>
      <c r="N168" s="44"/>
      <c r="O168" s="44"/>
      <c r="P168" s="6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77"/>
      <c r="M169" s="44"/>
      <c r="N169" s="44"/>
      <c r="O169" s="44"/>
      <c r="P169" s="6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0"/>
      <c r="M170" s="92"/>
      <c r="N170" s="92"/>
      <c r="O170" s="92"/>
      <c r="P170" s="95">
        <f>SUMPRODUCT(VALUE(K164:K168))-(SUM(L164:L168))</f>
        <v>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2"/>
      <c r="C171" s="24"/>
      <c r="D171" s="29"/>
      <c r="E171" s="22"/>
      <c r="F171" s="24"/>
      <c r="G171" s="32"/>
      <c r="H171" s="22"/>
      <c r="I171" s="24"/>
      <c r="J171" s="32"/>
      <c r="K171" s="48"/>
      <c r="L171" s="50"/>
      <c r="M171" s="38"/>
      <c r="N171" s="38"/>
      <c r="O171" s="38"/>
      <c r="P171" s="9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55"/>
      <c r="C172" s="56"/>
      <c r="D172" s="58"/>
      <c r="E172" s="55"/>
      <c r="F172" s="56"/>
      <c r="G172" s="60"/>
      <c r="H172" s="55"/>
      <c r="I172" s="56"/>
      <c r="J172" s="60"/>
      <c r="K172" s="62"/>
      <c r="L172" s="63"/>
      <c r="M172" s="44"/>
      <c r="N172" s="44"/>
      <c r="O172" s="44"/>
      <c r="P172" s="6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55"/>
      <c r="C173" s="56"/>
      <c r="D173" s="58"/>
      <c r="E173" s="55"/>
      <c r="F173" s="56"/>
      <c r="G173" s="60"/>
      <c r="H173" s="55"/>
      <c r="I173" s="56"/>
      <c r="J173" s="60"/>
      <c r="K173" s="62"/>
      <c r="L173" s="63"/>
      <c r="M173" s="44"/>
      <c r="N173" s="44"/>
      <c r="O173" s="44"/>
      <c r="P173" s="6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55"/>
      <c r="C174" s="69"/>
      <c r="D174" s="71"/>
      <c r="E174" s="55"/>
      <c r="F174" s="69"/>
      <c r="G174" s="60"/>
      <c r="H174" s="55"/>
      <c r="I174" s="69"/>
      <c r="J174" s="60"/>
      <c r="K174" s="62"/>
      <c r="L174" s="63"/>
      <c r="M174" s="44"/>
      <c r="N174" s="44"/>
      <c r="O174" s="44"/>
      <c r="P174" s="6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72"/>
      <c r="C175" s="73"/>
      <c r="D175" s="65"/>
      <c r="E175" s="72"/>
      <c r="F175" s="73"/>
      <c r="G175" s="65"/>
      <c r="H175" s="72"/>
      <c r="I175" s="73"/>
      <c r="J175" s="65"/>
      <c r="K175" s="75"/>
      <c r="L175" s="77"/>
      <c r="M175" s="44"/>
      <c r="N175" s="44"/>
      <c r="O175" s="44"/>
      <c r="P175" s="6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77"/>
      <c r="M176" s="44"/>
      <c r="N176" s="44"/>
      <c r="O176" s="44"/>
      <c r="P176" s="6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0"/>
      <c r="M177" s="92"/>
      <c r="N177" s="92"/>
      <c r="O177" s="92"/>
      <c r="P177" s="95">
        <f>SUMPRODUCT(VALUE(K171:K175))-(SUM(L171:L175))</f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2"/>
      <c r="C178" s="24"/>
      <c r="D178" s="29"/>
      <c r="E178" s="22"/>
      <c r="F178" s="24"/>
      <c r="G178" s="32"/>
      <c r="H178" s="22"/>
      <c r="I178" s="24"/>
      <c r="J178" s="32"/>
      <c r="K178" s="48"/>
      <c r="L178" s="50"/>
      <c r="M178" s="38"/>
      <c r="N178" s="38"/>
      <c r="O178" s="38"/>
      <c r="P178" s="9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55"/>
      <c r="C179" s="56"/>
      <c r="D179" s="58"/>
      <c r="E179" s="55"/>
      <c r="F179" s="56"/>
      <c r="G179" s="60"/>
      <c r="H179" s="55"/>
      <c r="I179" s="56"/>
      <c r="J179" s="60"/>
      <c r="K179" s="62"/>
      <c r="L179" s="63"/>
      <c r="M179" s="44"/>
      <c r="N179" s="44"/>
      <c r="O179" s="44"/>
      <c r="P179" s="6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55"/>
      <c r="C180" s="56"/>
      <c r="D180" s="58"/>
      <c r="E180" s="55"/>
      <c r="F180" s="56"/>
      <c r="G180" s="60"/>
      <c r="H180" s="55"/>
      <c r="I180" s="56"/>
      <c r="J180" s="60"/>
      <c r="K180" s="62"/>
      <c r="L180" s="63"/>
      <c r="M180" s="44"/>
      <c r="N180" s="44"/>
      <c r="O180" s="44"/>
      <c r="P180" s="6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55"/>
      <c r="C181" s="69"/>
      <c r="D181" s="71"/>
      <c r="E181" s="55"/>
      <c r="F181" s="69"/>
      <c r="G181" s="60"/>
      <c r="H181" s="55"/>
      <c r="I181" s="69"/>
      <c r="J181" s="60"/>
      <c r="K181" s="62"/>
      <c r="L181" s="63"/>
      <c r="M181" s="44"/>
      <c r="N181" s="44"/>
      <c r="O181" s="44"/>
      <c r="P181" s="6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72"/>
      <c r="C182" s="73"/>
      <c r="D182" s="65"/>
      <c r="E182" s="72"/>
      <c r="F182" s="73"/>
      <c r="G182" s="65"/>
      <c r="H182" s="72"/>
      <c r="I182" s="73"/>
      <c r="J182" s="65"/>
      <c r="K182" s="75"/>
      <c r="L182" s="77"/>
      <c r="M182" s="44"/>
      <c r="N182" s="44"/>
      <c r="O182" s="44"/>
      <c r="P182" s="6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77"/>
      <c r="M183" s="44"/>
      <c r="N183" s="44"/>
      <c r="O183" s="44"/>
      <c r="P183" s="6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0"/>
      <c r="M184" s="92"/>
      <c r="N184" s="92"/>
      <c r="O184" s="92"/>
      <c r="P184" s="95">
        <f>SUMPRODUCT(VALUE(K178:K182))-(SUM(L178:L182))</f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2"/>
      <c r="C185" s="24"/>
      <c r="D185" s="29"/>
      <c r="E185" s="22"/>
      <c r="F185" s="24"/>
      <c r="G185" s="32"/>
      <c r="H185" s="22"/>
      <c r="I185" s="24"/>
      <c r="J185" s="32"/>
      <c r="K185" s="48"/>
      <c r="L185" s="50"/>
      <c r="M185" s="38"/>
      <c r="N185" s="38"/>
      <c r="O185" s="38"/>
      <c r="P185" s="9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55"/>
      <c r="C186" s="56"/>
      <c r="D186" s="58"/>
      <c r="E186" s="55"/>
      <c r="F186" s="56"/>
      <c r="G186" s="60"/>
      <c r="H186" s="55"/>
      <c r="I186" s="56"/>
      <c r="J186" s="60"/>
      <c r="K186" s="62"/>
      <c r="L186" s="63"/>
      <c r="M186" s="44"/>
      <c r="N186" s="44"/>
      <c r="O186" s="44"/>
      <c r="P186" s="6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55"/>
      <c r="C187" s="56"/>
      <c r="D187" s="58"/>
      <c r="E187" s="55"/>
      <c r="F187" s="56"/>
      <c r="G187" s="60"/>
      <c r="H187" s="55"/>
      <c r="I187" s="56"/>
      <c r="J187" s="60"/>
      <c r="K187" s="62"/>
      <c r="L187" s="63"/>
      <c r="M187" s="44"/>
      <c r="N187" s="44"/>
      <c r="O187" s="44"/>
      <c r="P187" s="6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55"/>
      <c r="C188" s="69"/>
      <c r="D188" s="71"/>
      <c r="E188" s="55"/>
      <c r="F188" s="69"/>
      <c r="G188" s="60"/>
      <c r="H188" s="55"/>
      <c r="I188" s="69"/>
      <c r="J188" s="60"/>
      <c r="K188" s="62"/>
      <c r="L188" s="63"/>
      <c r="M188" s="44"/>
      <c r="N188" s="44"/>
      <c r="O188" s="44"/>
      <c r="P188" s="6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72"/>
      <c r="C189" s="73"/>
      <c r="D189" s="65"/>
      <c r="E189" s="72"/>
      <c r="F189" s="73"/>
      <c r="G189" s="65"/>
      <c r="H189" s="72"/>
      <c r="I189" s="73"/>
      <c r="J189" s="65"/>
      <c r="K189" s="75"/>
      <c r="L189" s="77"/>
      <c r="M189" s="44"/>
      <c r="N189" s="44"/>
      <c r="O189" s="44"/>
      <c r="P189" s="6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77"/>
      <c r="M190" s="44"/>
      <c r="N190" s="44"/>
      <c r="O190" s="44"/>
      <c r="P190" s="6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0"/>
      <c r="M191" s="92"/>
      <c r="N191" s="92"/>
      <c r="O191" s="92"/>
      <c r="P191" s="95">
        <f>SUMPRODUCT(VALUE(K185:K189))-(SUM(L185:L189))</f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2"/>
      <c r="C192" s="24"/>
      <c r="D192" s="29"/>
      <c r="E192" s="22"/>
      <c r="F192" s="24"/>
      <c r="G192" s="32"/>
      <c r="H192" s="22"/>
      <c r="I192" s="24"/>
      <c r="J192" s="32"/>
      <c r="K192" s="48"/>
      <c r="L192" s="50"/>
      <c r="M192" s="38"/>
      <c r="N192" s="38"/>
      <c r="O192" s="38"/>
      <c r="P192" s="9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55"/>
      <c r="C193" s="56"/>
      <c r="D193" s="58"/>
      <c r="E193" s="55"/>
      <c r="F193" s="56"/>
      <c r="G193" s="60"/>
      <c r="H193" s="55"/>
      <c r="I193" s="56"/>
      <c r="J193" s="60"/>
      <c r="K193" s="62"/>
      <c r="L193" s="63"/>
      <c r="M193" s="44"/>
      <c r="N193" s="44"/>
      <c r="O193" s="44"/>
      <c r="P193" s="6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55"/>
      <c r="C194" s="56"/>
      <c r="D194" s="58"/>
      <c r="E194" s="55"/>
      <c r="F194" s="56"/>
      <c r="G194" s="60"/>
      <c r="H194" s="55"/>
      <c r="I194" s="56"/>
      <c r="J194" s="60"/>
      <c r="K194" s="62"/>
      <c r="L194" s="63"/>
      <c r="M194" s="44"/>
      <c r="N194" s="44"/>
      <c r="O194" s="44"/>
      <c r="P194" s="6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55"/>
      <c r="C195" s="69"/>
      <c r="D195" s="71"/>
      <c r="E195" s="55"/>
      <c r="F195" s="69"/>
      <c r="G195" s="60"/>
      <c r="H195" s="55"/>
      <c r="I195" s="69"/>
      <c r="J195" s="60"/>
      <c r="K195" s="62"/>
      <c r="L195" s="63"/>
      <c r="M195" s="44"/>
      <c r="N195" s="44"/>
      <c r="O195" s="44"/>
      <c r="P195" s="6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72"/>
      <c r="C196" s="73"/>
      <c r="D196" s="65"/>
      <c r="E196" s="72"/>
      <c r="F196" s="73"/>
      <c r="G196" s="65"/>
      <c r="H196" s="72"/>
      <c r="I196" s="73"/>
      <c r="J196" s="65"/>
      <c r="K196" s="75"/>
      <c r="L196" s="77"/>
      <c r="M196" s="44"/>
      <c r="N196" s="44"/>
      <c r="O196" s="44"/>
      <c r="P196" s="6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77"/>
      <c r="M197" s="44"/>
      <c r="N197" s="44"/>
      <c r="O197" s="44"/>
      <c r="P197" s="6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0"/>
      <c r="M198" s="92"/>
      <c r="N198" s="92"/>
      <c r="O198" s="92"/>
      <c r="P198" s="95">
        <f>SUMPRODUCT(VALUE(K192:K196))-(SUM(L192:L196))</f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2"/>
      <c r="C199" s="24"/>
      <c r="D199" s="29"/>
      <c r="E199" s="22"/>
      <c r="F199" s="24"/>
      <c r="G199" s="32"/>
      <c r="H199" s="22"/>
      <c r="I199" s="24"/>
      <c r="J199" s="32"/>
      <c r="K199" s="48"/>
      <c r="L199" s="50"/>
      <c r="M199" s="38"/>
      <c r="N199" s="38"/>
      <c r="O199" s="38"/>
      <c r="P199" s="9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55"/>
      <c r="C200" s="56"/>
      <c r="D200" s="58"/>
      <c r="E200" s="55"/>
      <c r="F200" s="56"/>
      <c r="G200" s="60"/>
      <c r="H200" s="55"/>
      <c r="I200" s="56"/>
      <c r="J200" s="60"/>
      <c r="K200" s="62"/>
      <c r="L200" s="63"/>
      <c r="M200" s="44"/>
      <c r="N200" s="44"/>
      <c r="O200" s="44"/>
      <c r="P200" s="6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55"/>
      <c r="C201" s="56"/>
      <c r="D201" s="58"/>
      <c r="E201" s="55"/>
      <c r="F201" s="56"/>
      <c r="G201" s="60"/>
      <c r="H201" s="55"/>
      <c r="I201" s="56"/>
      <c r="J201" s="60"/>
      <c r="K201" s="62"/>
      <c r="L201" s="63"/>
      <c r="M201" s="44"/>
      <c r="N201" s="44"/>
      <c r="O201" s="44"/>
      <c r="P201" s="6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55"/>
      <c r="C202" s="69"/>
      <c r="D202" s="71"/>
      <c r="E202" s="55"/>
      <c r="F202" s="69"/>
      <c r="G202" s="60"/>
      <c r="H202" s="55"/>
      <c r="I202" s="69"/>
      <c r="J202" s="60"/>
      <c r="K202" s="62"/>
      <c r="L202" s="63"/>
      <c r="M202" s="44"/>
      <c r="N202" s="44"/>
      <c r="O202" s="44"/>
      <c r="P202" s="6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72"/>
      <c r="C203" s="73"/>
      <c r="D203" s="65"/>
      <c r="E203" s="72"/>
      <c r="F203" s="73"/>
      <c r="G203" s="65"/>
      <c r="H203" s="72"/>
      <c r="I203" s="73"/>
      <c r="J203" s="65"/>
      <c r="K203" s="75"/>
      <c r="L203" s="77"/>
      <c r="M203" s="44"/>
      <c r="N203" s="44"/>
      <c r="O203" s="44"/>
      <c r="P203" s="6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77"/>
      <c r="M204" s="44"/>
      <c r="N204" s="44"/>
      <c r="O204" s="44"/>
      <c r="P204" s="6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0"/>
      <c r="M205" s="92"/>
      <c r="N205" s="92"/>
      <c r="O205" s="92"/>
      <c r="P205" s="95">
        <f>SUMPRODUCT(VALUE(K199:K203))-(SUM(L199:L203))</f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2"/>
      <c r="C206" s="24"/>
      <c r="D206" s="29"/>
      <c r="E206" s="22"/>
      <c r="F206" s="24"/>
      <c r="G206" s="32"/>
      <c r="H206" s="22"/>
      <c r="I206" s="24"/>
      <c r="J206" s="32"/>
      <c r="K206" s="48"/>
      <c r="L206" s="50"/>
      <c r="M206" s="38"/>
      <c r="N206" s="38"/>
      <c r="O206" s="38"/>
      <c r="P206" s="9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55"/>
      <c r="C207" s="56"/>
      <c r="D207" s="58"/>
      <c r="E207" s="55"/>
      <c r="F207" s="56"/>
      <c r="G207" s="60"/>
      <c r="H207" s="55"/>
      <c r="I207" s="56"/>
      <c r="J207" s="60"/>
      <c r="K207" s="62"/>
      <c r="L207" s="63"/>
      <c r="M207" s="44"/>
      <c r="N207" s="44"/>
      <c r="O207" s="44"/>
      <c r="P207" s="6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55"/>
      <c r="C208" s="56"/>
      <c r="D208" s="58"/>
      <c r="E208" s="55"/>
      <c r="F208" s="56"/>
      <c r="G208" s="60"/>
      <c r="H208" s="55"/>
      <c r="I208" s="56"/>
      <c r="J208" s="60"/>
      <c r="K208" s="62"/>
      <c r="L208" s="63"/>
      <c r="M208" s="44"/>
      <c r="N208" s="44"/>
      <c r="O208" s="44"/>
      <c r="P208" s="6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55"/>
      <c r="C209" s="69"/>
      <c r="D209" s="71"/>
      <c r="E209" s="55"/>
      <c r="F209" s="69"/>
      <c r="G209" s="60"/>
      <c r="H209" s="55"/>
      <c r="I209" s="69"/>
      <c r="J209" s="60"/>
      <c r="K209" s="62"/>
      <c r="L209" s="63"/>
      <c r="M209" s="44"/>
      <c r="N209" s="44"/>
      <c r="O209" s="44"/>
      <c r="P209" s="6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72"/>
      <c r="C210" s="73"/>
      <c r="D210" s="65"/>
      <c r="E210" s="72"/>
      <c r="F210" s="73"/>
      <c r="G210" s="65"/>
      <c r="H210" s="72"/>
      <c r="I210" s="73"/>
      <c r="J210" s="65"/>
      <c r="K210" s="75"/>
      <c r="L210" s="77"/>
      <c r="M210" s="44"/>
      <c r="N210" s="44"/>
      <c r="O210" s="44"/>
      <c r="P210" s="6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77"/>
      <c r="M211" s="44"/>
      <c r="N211" s="44"/>
      <c r="O211" s="44"/>
      <c r="P211" s="6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0"/>
      <c r="M212" s="92"/>
      <c r="N212" s="92"/>
      <c r="O212" s="92"/>
      <c r="P212" s="95">
        <f>SUMPRODUCT(VALUE(K206:K210))-(SUM(L206:L210))</f>
        <v>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2"/>
      <c r="C213" s="24"/>
      <c r="D213" s="29"/>
      <c r="E213" s="22"/>
      <c r="F213" s="24"/>
      <c r="G213" s="32"/>
      <c r="H213" s="22"/>
      <c r="I213" s="24"/>
      <c r="J213" s="32"/>
      <c r="K213" s="48"/>
      <c r="L213" s="50"/>
      <c r="M213" s="38"/>
      <c r="N213" s="38"/>
      <c r="O213" s="38"/>
      <c r="P213" s="9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55"/>
      <c r="C214" s="56"/>
      <c r="D214" s="58"/>
      <c r="E214" s="55"/>
      <c r="F214" s="56"/>
      <c r="G214" s="60"/>
      <c r="H214" s="55"/>
      <c r="I214" s="56"/>
      <c r="J214" s="60"/>
      <c r="K214" s="62"/>
      <c r="L214" s="63"/>
      <c r="M214" s="44"/>
      <c r="N214" s="44"/>
      <c r="O214" s="44"/>
      <c r="P214" s="6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55"/>
      <c r="C215" s="56"/>
      <c r="D215" s="58"/>
      <c r="E215" s="55"/>
      <c r="F215" s="56"/>
      <c r="G215" s="60"/>
      <c r="H215" s="55"/>
      <c r="I215" s="56"/>
      <c r="J215" s="60"/>
      <c r="K215" s="62"/>
      <c r="L215" s="63"/>
      <c r="M215" s="44"/>
      <c r="N215" s="44"/>
      <c r="O215" s="44"/>
      <c r="P215" s="6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55"/>
      <c r="C216" s="69"/>
      <c r="D216" s="71"/>
      <c r="E216" s="55"/>
      <c r="F216" s="69"/>
      <c r="G216" s="60"/>
      <c r="H216" s="55"/>
      <c r="I216" s="69"/>
      <c r="J216" s="60"/>
      <c r="K216" s="62"/>
      <c r="L216" s="63"/>
      <c r="M216" s="44"/>
      <c r="N216" s="44"/>
      <c r="O216" s="44"/>
      <c r="P216" s="6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72"/>
      <c r="C217" s="73"/>
      <c r="D217" s="65"/>
      <c r="E217" s="72"/>
      <c r="F217" s="73"/>
      <c r="G217" s="65"/>
      <c r="H217" s="72"/>
      <c r="I217" s="73"/>
      <c r="J217" s="65"/>
      <c r="K217" s="75"/>
      <c r="L217" s="77"/>
      <c r="M217" s="44"/>
      <c r="N217" s="44"/>
      <c r="O217" s="44"/>
      <c r="P217" s="6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77"/>
      <c r="M218" s="44"/>
      <c r="N218" s="44"/>
      <c r="O218" s="44"/>
      <c r="P218" s="6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0"/>
      <c r="M219" s="92"/>
      <c r="N219" s="92"/>
      <c r="O219" s="92"/>
      <c r="P219" s="95">
        <f>SUMPRODUCT(VALUE(K213:K217))-(SUM(L213:L217))</f>
        <v>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2"/>
      <c r="C220" s="24"/>
      <c r="D220" s="29"/>
      <c r="E220" s="22"/>
      <c r="F220" s="24"/>
      <c r="G220" s="32"/>
      <c r="H220" s="22"/>
      <c r="I220" s="24"/>
      <c r="J220" s="32"/>
      <c r="K220" s="48"/>
      <c r="L220" s="50"/>
      <c r="M220" s="38"/>
      <c r="N220" s="38"/>
      <c r="O220" s="38"/>
      <c r="P220" s="9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55"/>
      <c r="C221" s="56"/>
      <c r="D221" s="58"/>
      <c r="E221" s="55"/>
      <c r="F221" s="56"/>
      <c r="G221" s="60"/>
      <c r="H221" s="55"/>
      <c r="I221" s="56"/>
      <c r="J221" s="60"/>
      <c r="K221" s="62"/>
      <c r="L221" s="63"/>
      <c r="M221" s="44"/>
      <c r="N221" s="44"/>
      <c r="O221" s="44"/>
      <c r="P221" s="6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55"/>
      <c r="C222" s="56"/>
      <c r="D222" s="58"/>
      <c r="E222" s="55"/>
      <c r="F222" s="56"/>
      <c r="G222" s="60"/>
      <c r="H222" s="55"/>
      <c r="I222" s="56"/>
      <c r="J222" s="60"/>
      <c r="K222" s="62"/>
      <c r="L222" s="63"/>
      <c r="M222" s="44"/>
      <c r="N222" s="44"/>
      <c r="O222" s="44"/>
      <c r="P222" s="6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55"/>
      <c r="C223" s="69"/>
      <c r="D223" s="71"/>
      <c r="E223" s="55"/>
      <c r="F223" s="69"/>
      <c r="G223" s="60"/>
      <c r="H223" s="55"/>
      <c r="I223" s="69"/>
      <c r="J223" s="60"/>
      <c r="K223" s="62"/>
      <c r="L223" s="63"/>
      <c r="M223" s="44"/>
      <c r="N223" s="44"/>
      <c r="O223" s="44"/>
      <c r="P223" s="6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72"/>
      <c r="C224" s="73"/>
      <c r="D224" s="65"/>
      <c r="E224" s="72"/>
      <c r="F224" s="73"/>
      <c r="G224" s="65"/>
      <c r="H224" s="72"/>
      <c r="I224" s="73"/>
      <c r="J224" s="65"/>
      <c r="K224" s="75"/>
      <c r="L224" s="77"/>
      <c r="M224" s="44"/>
      <c r="N224" s="44"/>
      <c r="O224" s="44"/>
      <c r="P224" s="6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77"/>
      <c r="M225" s="44"/>
      <c r="N225" s="44"/>
      <c r="O225" s="44"/>
      <c r="P225" s="6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0"/>
      <c r="M226" s="92"/>
      <c r="N226" s="92"/>
      <c r="O226" s="92"/>
      <c r="P226" s="95">
        <f>SUMPRODUCT(VALUE(K220:K224))-(SUM(L220:L224))</f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2"/>
      <c r="C227" s="24"/>
      <c r="D227" s="29"/>
      <c r="E227" s="22"/>
      <c r="F227" s="24"/>
      <c r="G227" s="32"/>
      <c r="H227" s="22"/>
      <c r="I227" s="24"/>
      <c r="J227" s="32"/>
      <c r="K227" s="48"/>
      <c r="L227" s="50"/>
      <c r="M227" s="38"/>
      <c r="N227" s="38"/>
      <c r="O227" s="38"/>
      <c r="P227" s="9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55"/>
      <c r="C228" s="56"/>
      <c r="D228" s="58"/>
      <c r="E228" s="55"/>
      <c r="F228" s="56"/>
      <c r="G228" s="60"/>
      <c r="H228" s="55"/>
      <c r="I228" s="56"/>
      <c r="J228" s="60"/>
      <c r="K228" s="62"/>
      <c r="L228" s="63"/>
      <c r="M228" s="44"/>
      <c r="N228" s="44"/>
      <c r="O228" s="44"/>
      <c r="P228" s="6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55"/>
      <c r="C229" s="56"/>
      <c r="D229" s="58"/>
      <c r="E229" s="55"/>
      <c r="F229" s="56"/>
      <c r="G229" s="60"/>
      <c r="H229" s="55"/>
      <c r="I229" s="56"/>
      <c r="J229" s="60"/>
      <c r="K229" s="62"/>
      <c r="L229" s="63"/>
      <c r="M229" s="44"/>
      <c r="N229" s="44"/>
      <c r="O229" s="44"/>
      <c r="P229" s="6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55"/>
      <c r="C230" s="69"/>
      <c r="D230" s="71"/>
      <c r="E230" s="55"/>
      <c r="F230" s="69"/>
      <c r="G230" s="60"/>
      <c r="H230" s="55"/>
      <c r="I230" s="69"/>
      <c r="J230" s="60"/>
      <c r="K230" s="62"/>
      <c r="L230" s="63"/>
      <c r="M230" s="44"/>
      <c r="N230" s="44"/>
      <c r="O230" s="44"/>
      <c r="P230" s="6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72"/>
      <c r="C231" s="73"/>
      <c r="D231" s="65"/>
      <c r="E231" s="72"/>
      <c r="F231" s="73"/>
      <c r="G231" s="65"/>
      <c r="H231" s="72"/>
      <c r="I231" s="73"/>
      <c r="J231" s="65"/>
      <c r="K231" s="75"/>
      <c r="L231" s="77"/>
      <c r="M231" s="44"/>
      <c r="N231" s="44"/>
      <c r="O231" s="44"/>
      <c r="P231" s="6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77"/>
      <c r="M232" s="44"/>
      <c r="N232" s="44"/>
      <c r="O232" s="44"/>
      <c r="P232" s="6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0"/>
      <c r="M233" s="92"/>
      <c r="N233" s="92"/>
      <c r="O233" s="92"/>
      <c r="P233" s="95">
        <f>SUMPRODUCT(VALUE(K227:K231))-(SUM(L227:L231))</f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2"/>
      <c r="C234" s="24"/>
      <c r="D234" s="29"/>
      <c r="E234" s="22"/>
      <c r="F234" s="24"/>
      <c r="G234" s="32"/>
      <c r="H234" s="22"/>
      <c r="I234" s="24"/>
      <c r="J234" s="32"/>
      <c r="K234" s="48"/>
      <c r="L234" s="50"/>
      <c r="M234" s="38"/>
      <c r="N234" s="38"/>
      <c r="O234" s="38"/>
      <c r="P234" s="9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55"/>
      <c r="C235" s="56"/>
      <c r="D235" s="58"/>
      <c r="E235" s="55"/>
      <c r="F235" s="56"/>
      <c r="G235" s="60"/>
      <c r="H235" s="55"/>
      <c r="I235" s="56"/>
      <c r="J235" s="60"/>
      <c r="K235" s="62"/>
      <c r="L235" s="63"/>
      <c r="M235" s="44"/>
      <c r="N235" s="44"/>
      <c r="O235" s="44"/>
      <c r="P235" s="6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55"/>
      <c r="C236" s="56"/>
      <c r="D236" s="58"/>
      <c r="E236" s="55"/>
      <c r="F236" s="56"/>
      <c r="G236" s="60"/>
      <c r="H236" s="55"/>
      <c r="I236" s="56"/>
      <c r="J236" s="60"/>
      <c r="K236" s="62"/>
      <c r="L236" s="63"/>
      <c r="M236" s="44"/>
      <c r="N236" s="44"/>
      <c r="O236" s="44"/>
      <c r="P236" s="6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55"/>
      <c r="C237" s="69"/>
      <c r="D237" s="71"/>
      <c r="E237" s="55"/>
      <c r="F237" s="69"/>
      <c r="G237" s="60"/>
      <c r="H237" s="55"/>
      <c r="I237" s="69"/>
      <c r="J237" s="60"/>
      <c r="K237" s="62"/>
      <c r="L237" s="63"/>
      <c r="M237" s="44"/>
      <c r="N237" s="44"/>
      <c r="O237" s="44"/>
      <c r="P237" s="6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72"/>
      <c r="C238" s="73"/>
      <c r="D238" s="65"/>
      <c r="E238" s="72"/>
      <c r="F238" s="73"/>
      <c r="G238" s="65"/>
      <c r="H238" s="72"/>
      <c r="I238" s="73"/>
      <c r="J238" s="65"/>
      <c r="K238" s="75"/>
      <c r="L238" s="77"/>
      <c r="M238" s="44"/>
      <c r="N238" s="44"/>
      <c r="O238" s="44"/>
      <c r="P238" s="6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77"/>
      <c r="M239" s="44"/>
      <c r="N239" s="44"/>
      <c r="O239" s="44"/>
      <c r="P239" s="6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0"/>
      <c r="M240" s="92"/>
      <c r="N240" s="92"/>
      <c r="O240" s="92"/>
      <c r="P240" s="95">
        <f>SUMPRODUCT(VALUE(K234:K238))-(SUM(L234:L238))</f>
        <v>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2"/>
      <c r="C241" s="24"/>
      <c r="D241" s="29"/>
      <c r="E241" s="22"/>
      <c r="F241" s="24"/>
      <c r="G241" s="32"/>
      <c r="H241" s="22"/>
      <c r="I241" s="24"/>
      <c r="J241" s="32"/>
      <c r="K241" s="48"/>
      <c r="L241" s="50"/>
      <c r="M241" s="38"/>
      <c r="N241" s="38"/>
      <c r="O241" s="38"/>
      <c r="P241" s="9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55"/>
      <c r="C242" s="56"/>
      <c r="D242" s="58"/>
      <c r="E242" s="55"/>
      <c r="F242" s="56"/>
      <c r="G242" s="60"/>
      <c r="H242" s="55"/>
      <c r="I242" s="56"/>
      <c r="J242" s="60"/>
      <c r="K242" s="62"/>
      <c r="L242" s="63"/>
      <c r="M242" s="44"/>
      <c r="N242" s="44"/>
      <c r="O242" s="44"/>
      <c r="P242" s="6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55"/>
      <c r="C243" s="56"/>
      <c r="D243" s="58"/>
      <c r="E243" s="55"/>
      <c r="F243" s="56"/>
      <c r="G243" s="60"/>
      <c r="H243" s="55"/>
      <c r="I243" s="56"/>
      <c r="J243" s="60"/>
      <c r="K243" s="62"/>
      <c r="L243" s="63"/>
      <c r="M243" s="44"/>
      <c r="N243" s="44"/>
      <c r="O243" s="44"/>
      <c r="P243" s="6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55"/>
      <c r="C244" s="69"/>
      <c r="D244" s="71"/>
      <c r="E244" s="55"/>
      <c r="F244" s="69"/>
      <c r="G244" s="60"/>
      <c r="H244" s="55"/>
      <c r="I244" s="69"/>
      <c r="J244" s="60"/>
      <c r="K244" s="62"/>
      <c r="L244" s="63"/>
      <c r="M244" s="44"/>
      <c r="N244" s="44"/>
      <c r="O244" s="44"/>
      <c r="P244" s="6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72"/>
      <c r="C245" s="73"/>
      <c r="D245" s="65"/>
      <c r="E245" s="72"/>
      <c r="F245" s="73"/>
      <c r="G245" s="65"/>
      <c r="H245" s="72"/>
      <c r="I245" s="73"/>
      <c r="J245" s="65"/>
      <c r="K245" s="75"/>
      <c r="L245" s="77"/>
      <c r="M245" s="44"/>
      <c r="N245" s="44"/>
      <c r="O245" s="44"/>
      <c r="P245" s="6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77"/>
      <c r="M246" s="44"/>
      <c r="N246" s="44"/>
      <c r="O246" s="44"/>
      <c r="P246" s="6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0"/>
      <c r="M247" s="92"/>
      <c r="N247" s="92"/>
      <c r="O247" s="92"/>
      <c r="P247" s="95">
        <f>SUMPRODUCT(VALUE(K241:K245))-(SUM(L241:L245))</f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2"/>
      <c r="C248" s="24"/>
      <c r="D248" s="29"/>
      <c r="E248" s="22"/>
      <c r="F248" s="24"/>
      <c r="G248" s="32"/>
      <c r="H248" s="22"/>
      <c r="I248" s="24"/>
      <c r="J248" s="32"/>
      <c r="K248" s="48"/>
      <c r="L248" s="50"/>
      <c r="M248" s="38"/>
      <c r="N248" s="38"/>
      <c r="O248" s="38"/>
      <c r="P248" s="9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55"/>
      <c r="C249" s="56"/>
      <c r="D249" s="58"/>
      <c r="E249" s="55"/>
      <c r="F249" s="56"/>
      <c r="G249" s="60"/>
      <c r="H249" s="55"/>
      <c r="I249" s="56"/>
      <c r="J249" s="60"/>
      <c r="K249" s="62"/>
      <c r="L249" s="63"/>
      <c r="M249" s="44"/>
      <c r="N249" s="44"/>
      <c r="O249" s="44"/>
      <c r="P249" s="6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55"/>
      <c r="C250" s="56"/>
      <c r="D250" s="58"/>
      <c r="E250" s="55"/>
      <c r="F250" s="56"/>
      <c r="G250" s="60"/>
      <c r="H250" s="55"/>
      <c r="I250" s="56"/>
      <c r="J250" s="60"/>
      <c r="K250" s="62"/>
      <c r="L250" s="63"/>
      <c r="M250" s="44"/>
      <c r="N250" s="44"/>
      <c r="O250" s="44"/>
      <c r="P250" s="6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55"/>
      <c r="C251" s="69"/>
      <c r="D251" s="71"/>
      <c r="E251" s="55"/>
      <c r="F251" s="69"/>
      <c r="G251" s="60"/>
      <c r="H251" s="55"/>
      <c r="I251" s="69"/>
      <c r="J251" s="60"/>
      <c r="K251" s="62"/>
      <c r="L251" s="63"/>
      <c r="M251" s="44"/>
      <c r="N251" s="44"/>
      <c r="O251" s="44"/>
      <c r="P251" s="6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72"/>
      <c r="C252" s="73"/>
      <c r="D252" s="65"/>
      <c r="E252" s="72"/>
      <c r="F252" s="73"/>
      <c r="G252" s="65"/>
      <c r="H252" s="72"/>
      <c r="I252" s="73"/>
      <c r="J252" s="65"/>
      <c r="K252" s="75"/>
      <c r="L252" s="77"/>
      <c r="M252" s="44"/>
      <c r="N252" s="44"/>
      <c r="O252" s="44"/>
      <c r="P252" s="6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77"/>
      <c r="M253" s="44"/>
      <c r="N253" s="44"/>
      <c r="O253" s="44"/>
      <c r="P253" s="6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0"/>
      <c r="M254" s="92"/>
      <c r="N254" s="92"/>
      <c r="O254" s="92"/>
      <c r="P254" s="95">
        <f>SUMPRODUCT(VALUE(K248:K252))-(SUM(L248:L252))</f>
        <v>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2"/>
      <c r="C255" s="24"/>
      <c r="D255" s="29"/>
      <c r="E255" s="22"/>
      <c r="F255" s="24"/>
      <c r="G255" s="32"/>
      <c r="H255" s="22"/>
      <c r="I255" s="24"/>
      <c r="J255" s="32"/>
      <c r="K255" s="48"/>
      <c r="L255" s="50"/>
      <c r="M255" s="38"/>
      <c r="N255" s="38"/>
      <c r="O255" s="38"/>
      <c r="P255" s="9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55"/>
      <c r="C256" s="56"/>
      <c r="D256" s="58"/>
      <c r="E256" s="55"/>
      <c r="F256" s="56"/>
      <c r="G256" s="60"/>
      <c r="H256" s="55"/>
      <c r="I256" s="56"/>
      <c r="J256" s="60"/>
      <c r="K256" s="62"/>
      <c r="L256" s="63"/>
      <c r="M256" s="44"/>
      <c r="N256" s="44"/>
      <c r="O256" s="44"/>
      <c r="P256" s="6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55"/>
      <c r="C257" s="56"/>
      <c r="D257" s="58"/>
      <c r="E257" s="55"/>
      <c r="F257" s="56"/>
      <c r="G257" s="60"/>
      <c r="H257" s="55"/>
      <c r="I257" s="56"/>
      <c r="J257" s="60"/>
      <c r="K257" s="62"/>
      <c r="L257" s="63"/>
      <c r="M257" s="44"/>
      <c r="N257" s="44"/>
      <c r="O257" s="44"/>
      <c r="P257" s="6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55"/>
      <c r="C258" s="69"/>
      <c r="D258" s="71"/>
      <c r="E258" s="55"/>
      <c r="F258" s="69"/>
      <c r="G258" s="60"/>
      <c r="H258" s="55"/>
      <c r="I258" s="69"/>
      <c r="J258" s="60"/>
      <c r="K258" s="62"/>
      <c r="L258" s="63"/>
      <c r="M258" s="44"/>
      <c r="N258" s="44"/>
      <c r="O258" s="44"/>
      <c r="P258" s="6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72"/>
      <c r="C259" s="73"/>
      <c r="D259" s="65"/>
      <c r="E259" s="72"/>
      <c r="F259" s="73"/>
      <c r="G259" s="65"/>
      <c r="H259" s="72"/>
      <c r="I259" s="73"/>
      <c r="J259" s="65"/>
      <c r="K259" s="75"/>
      <c r="L259" s="77"/>
      <c r="M259" s="44"/>
      <c r="N259" s="44"/>
      <c r="O259" s="44"/>
      <c r="P259" s="6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77"/>
      <c r="M260" s="44"/>
      <c r="N260" s="44"/>
      <c r="O260" s="44"/>
      <c r="P260" s="6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0"/>
      <c r="M261" s="92"/>
      <c r="N261" s="92"/>
      <c r="O261" s="92"/>
      <c r="P261" s="95">
        <f>SUMPRODUCT(VALUE(K255:K259))-(SUM(L255:L259))</f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2"/>
      <c r="C262" s="24"/>
      <c r="D262" s="29"/>
      <c r="E262" s="22"/>
      <c r="F262" s="24"/>
      <c r="G262" s="32"/>
      <c r="H262" s="22"/>
      <c r="I262" s="24"/>
      <c r="J262" s="32"/>
      <c r="K262" s="48"/>
      <c r="L262" s="50"/>
      <c r="M262" s="38"/>
      <c r="N262" s="38"/>
      <c r="O262" s="38"/>
      <c r="P262" s="9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55"/>
      <c r="C263" s="56"/>
      <c r="D263" s="58"/>
      <c r="E263" s="55"/>
      <c r="F263" s="56"/>
      <c r="G263" s="60"/>
      <c r="H263" s="55"/>
      <c r="I263" s="56"/>
      <c r="J263" s="60"/>
      <c r="K263" s="62"/>
      <c r="L263" s="63"/>
      <c r="M263" s="44"/>
      <c r="N263" s="44"/>
      <c r="O263" s="44"/>
      <c r="P263" s="6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55"/>
      <c r="C264" s="56"/>
      <c r="D264" s="58"/>
      <c r="E264" s="55"/>
      <c r="F264" s="56"/>
      <c r="G264" s="60"/>
      <c r="H264" s="55"/>
      <c r="I264" s="56"/>
      <c r="J264" s="60"/>
      <c r="K264" s="62"/>
      <c r="L264" s="63"/>
      <c r="M264" s="44"/>
      <c r="N264" s="44"/>
      <c r="O264" s="44"/>
      <c r="P264" s="6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55"/>
      <c r="C265" s="69"/>
      <c r="D265" s="71"/>
      <c r="E265" s="55"/>
      <c r="F265" s="69"/>
      <c r="G265" s="60"/>
      <c r="H265" s="55"/>
      <c r="I265" s="69"/>
      <c r="J265" s="60"/>
      <c r="K265" s="62"/>
      <c r="L265" s="63"/>
      <c r="M265" s="44"/>
      <c r="N265" s="44"/>
      <c r="O265" s="44"/>
      <c r="P265" s="6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72"/>
      <c r="C266" s="73"/>
      <c r="D266" s="65"/>
      <c r="E266" s="72"/>
      <c r="F266" s="73"/>
      <c r="G266" s="65"/>
      <c r="H266" s="72"/>
      <c r="I266" s="73"/>
      <c r="J266" s="65"/>
      <c r="K266" s="75"/>
      <c r="L266" s="77"/>
      <c r="M266" s="44"/>
      <c r="N266" s="44"/>
      <c r="O266" s="44"/>
      <c r="P266" s="6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77"/>
      <c r="M267" s="44"/>
      <c r="N267" s="44"/>
      <c r="O267" s="44"/>
      <c r="P267" s="6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0"/>
      <c r="M268" s="92"/>
      <c r="N268" s="92"/>
      <c r="O268" s="92"/>
      <c r="P268" s="95">
        <f>SUMPRODUCT(VALUE(K262:K266))-(SUM(L262:L266))</f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2"/>
      <c r="C269" s="24"/>
      <c r="D269" s="29"/>
      <c r="E269" s="22"/>
      <c r="F269" s="24"/>
      <c r="G269" s="32"/>
      <c r="H269" s="22"/>
      <c r="I269" s="24"/>
      <c r="J269" s="32"/>
      <c r="K269" s="48"/>
      <c r="L269" s="50"/>
      <c r="M269" s="38"/>
      <c r="N269" s="38"/>
      <c r="O269" s="38"/>
      <c r="P269" s="9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55"/>
      <c r="C270" s="56"/>
      <c r="D270" s="58"/>
      <c r="E270" s="55"/>
      <c r="F270" s="56"/>
      <c r="G270" s="60"/>
      <c r="H270" s="55"/>
      <c r="I270" s="56"/>
      <c r="J270" s="60"/>
      <c r="K270" s="62"/>
      <c r="L270" s="63"/>
      <c r="M270" s="44"/>
      <c r="N270" s="44"/>
      <c r="O270" s="44"/>
      <c r="P270" s="6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55"/>
      <c r="C271" s="56"/>
      <c r="D271" s="58"/>
      <c r="E271" s="55"/>
      <c r="F271" s="56"/>
      <c r="G271" s="60"/>
      <c r="H271" s="55"/>
      <c r="I271" s="56"/>
      <c r="J271" s="60"/>
      <c r="K271" s="62"/>
      <c r="L271" s="63"/>
      <c r="M271" s="44"/>
      <c r="N271" s="44"/>
      <c r="O271" s="44"/>
      <c r="P271" s="6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55"/>
      <c r="C272" s="69"/>
      <c r="D272" s="71"/>
      <c r="E272" s="55"/>
      <c r="F272" s="69"/>
      <c r="G272" s="60"/>
      <c r="H272" s="55"/>
      <c r="I272" s="69"/>
      <c r="J272" s="60"/>
      <c r="K272" s="62"/>
      <c r="L272" s="63"/>
      <c r="M272" s="44"/>
      <c r="N272" s="44"/>
      <c r="O272" s="44"/>
      <c r="P272" s="6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72"/>
      <c r="C273" s="73"/>
      <c r="D273" s="65"/>
      <c r="E273" s="72"/>
      <c r="F273" s="73"/>
      <c r="G273" s="65"/>
      <c r="H273" s="72"/>
      <c r="I273" s="73"/>
      <c r="J273" s="65"/>
      <c r="K273" s="75"/>
      <c r="L273" s="77"/>
      <c r="M273" s="44"/>
      <c r="N273" s="44"/>
      <c r="O273" s="44"/>
      <c r="P273" s="6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77"/>
      <c r="M274" s="44"/>
      <c r="N274" s="44"/>
      <c r="O274" s="44"/>
      <c r="P274" s="6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0"/>
      <c r="M275" s="92"/>
      <c r="N275" s="92"/>
      <c r="O275" s="92"/>
      <c r="P275" s="95">
        <f>SUMPRODUCT(VALUE(K269:K273))-(SUM(L269:L273))</f>
        <v>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2"/>
      <c r="C276" s="24"/>
      <c r="D276" s="29"/>
      <c r="E276" s="22"/>
      <c r="F276" s="24"/>
      <c r="G276" s="32"/>
      <c r="H276" s="22"/>
      <c r="I276" s="24"/>
      <c r="J276" s="32"/>
      <c r="K276" s="48"/>
      <c r="L276" s="50"/>
      <c r="M276" s="38"/>
      <c r="N276" s="38"/>
      <c r="O276" s="38"/>
      <c r="P276" s="9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55"/>
      <c r="C277" s="56"/>
      <c r="D277" s="58"/>
      <c r="E277" s="55"/>
      <c r="F277" s="56"/>
      <c r="G277" s="60"/>
      <c r="H277" s="55"/>
      <c r="I277" s="56"/>
      <c r="J277" s="60"/>
      <c r="K277" s="62"/>
      <c r="L277" s="63"/>
      <c r="M277" s="44"/>
      <c r="N277" s="44"/>
      <c r="O277" s="44"/>
      <c r="P277" s="6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55"/>
      <c r="C278" s="56"/>
      <c r="D278" s="58"/>
      <c r="E278" s="55"/>
      <c r="F278" s="56"/>
      <c r="G278" s="60"/>
      <c r="H278" s="55"/>
      <c r="I278" s="56"/>
      <c r="J278" s="60"/>
      <c r="K278" s="62"/>
      <c r="L278" s="63"/>
      <c r="M278" s="44"/>
      <c r="N278" s="44"/>
      <c r="O278" s="44"/>
      <c r="P278" s="6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55"/>
      <c r="C279" s="69"/>
      <c r="D279" s="71"/>
      <c r="E279" s="55"/>
      <c r="F279" s="69"/>
      <c r="G279" s="60"/>
      <c r="H279" s="55"/>
      <c r="I279" s="69"/>
      <c r="J279" s="60"/>
      <c r="K279" s="62"/>
      <c r="L279" s="63"/>
      <c r="M279" s="44"/>
      <c r="N279" s="44"/>
      <c r="O279" s="44"/>
      <c r="P279" s="6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72"/>
      <c r="C280" s="73"/>
      <c r="D280" s="65"/>
      <c r="E280" s="72"/>
      <c r="F280" s="73"/>
      <c r="G280" s="65"/>
      <c r="H280" s="72"/>
      <c r="I280" s="73"/>
      <c r="J280" s="65"/>
      <c r="K280" s="75"/>
      <c r="L280" s="77"/>
      <c r="M280" s="44"/>
      <c r="N280" s="44"/>
      <c r="O280" s="44"/>
      <c r="P280" s="6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77"/>
      <c r="M281" s="44"/>
      <c r="N281" s="44"/>
      <c r="O281" s="44"/>
      <c r="P281" s="6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0"/>
      <c r="M282" s="92"/>
      <c r="N282" s="92"/>
      <c r="O282" s="92"/>
      <c r="P282" s="95">
        <f>SUMPRODUCT(VALUE(K276:K280))-(SUM(L276:L280))</f>
        <v>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2"/>
      <c r="C283" s="24"/>
      <c r="D283" s="29"/>
      <c r="E283" s="22"/>
      <c r="F283" s="24"/>
      <c r="G283" s="32"/>
      <c r="H283" s="22"/>
      <c r="I283" s="24"/>
      <c r="J283" s="32"/>
      <c r="K283" s="48"/>
      <c r="L283" s="50"/>
      <c r="M283" s="38"/>
      <c r="N283" s="38"/>
      <c r="O283" s="38"/>
      <c r="P283" s="9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55"/>
      <c r="C284" s="56"/>
      <c r="D284" s="58"/>
      <c r="E284" s="55"/>
      <c r="F284" s="56"/>
      <c r="G284" s="60"/>
      <c r="H284" s="55"/>
      <c r="I284" s="56"/>
      <c r="J284" s="60"/>
      <c r="K284" s="62"/>
      <c r="L284" s="63"/>
      <c r="M284" s="44"/>
      <c r="N284" s="44"/>
      <c r="O284" s="44"/>
      <c r="P284" s="6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55"/>
      <c r="C285" s="56"/>
      <c r="D285" s="58"/>
      <c r="E285" s="55"/>
      <c r="F285" s="56"/>
      <c r="G285" s="60"/>
      <c r="H285" s="55"/>
      <c r="I285" s="56"/>
      <c r="J285" s="60"/>
      <c r="K285" s="62"/>
      <c r="L285" s="63"/>
      <c r="M285" s="44"/>
      <c r="N285" s="44"/>
      <c r="O285" s="44"/>
      <c r="P285" s="6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55"/>
      <c r="C286" s="69"/>
      <c r="D286" s="71"/>
      <c r="E286" s="55"/>
      <c r="F286" s="69"/>
      <c r="G286" s="60"/>
      <c r="H286" s="55"/>
      <c r="I286" s="69"/>
      <c r="J286" s="60"/>
      <c r="K286" s="62"/>
      <c r="L286" s="63"/>
      <c r="M286" s="44"/>
      <c r="N286" s="44"/>
      <c r="O286" s="44"/>
      <c r="P286" s="6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72"/>
      <c r="C287" s="73"/>
      <c r="D287" s="65"/>
      <c r="E287" s="72"/>
      <c r="F287" s="73"/>
      <c r="G287" s="65"/>
      <c r="H287" s="72"/>
      <c r="I287" s="73"/>
      <c r="J287" s="65"/>
      <c r="K287" s="75"/>
      <c r="L287" s="77"/>
      <c r="M287" s="44"/>
      <c r="N287" s="44"/>
      <c r="O287" s="44"/>
      <c r="P287" s="6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77"/>
      <c r="M288" s="44"/>
      <c r="N288" s="44"/>
      <c r="O288" s="44"/>
      <c r="P288" s="6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0"/>
      <c r="M289" s="92"/>
      <c r="N289" s="92"/>
      <c r="O289" s="92"/>
      <c r="P289" s="95">
        <f>SUMPRODUCT(VALUE(K283:K287))-(SUM(L283:L287))</f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2"/>
      <c r="C290" s="24"/>
      <c r="D290" s="29"/>
      <c r="E290" s="22"/>
      <c r="F290" s="24"/>
      <c r="G290" s="32"/>
      <c r="H290" s="22"/>
      <c r="I290" s="24"/>
      <c r="J290" s="32"/>
      <c r="K290" s="48"/>
      <c r="L290" s="50"/>
      <c r="M290" s="38"/>
      <c r="N290" s="38"/>
      <c r="O290" s="38"/>
      <c r="P290" s="9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55"/>
      <c r="C291" s="56"/>
      <c r="D291" s="58"/>
      <c r="E291" s="55"/>
      <c r="F291" s="56"/>
      <c r="G291" s="60"/>
      <c r="H291" s="55"/>
      <c r="I291" s="56"/>
      <c r="J291" s="60"/>
      <c r="K291" s="62"/>
      <c r="L291" s="63"/>
      <c r="M291" s="44"/>
      <c r="N291" s="44"/>
      <c r="O291" s="44"/>
      <c r="P291" s="6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55"/>
      <c r="C292" s="56"/>
      <c r="D292" s="58"/>
      <c r="E292" s="55"/>
      <c r="F292" s="56"/>
      <c r="G292" s="60"/>
      <c r="H292" s="55"/>
      <c r="I292" s="56"/>
      <c r="J292" s="60"/>
      <c r="K292" s="62"/>
      <c r="L292" s="63"/>
      <c r="M292" s="44"/>
      <c r="N292" s="44"/>
      <c r="O292" s="44"/>
      <c r="P292" s="6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55"/>
      <c r="C293" s="69"/>
      <c r="D293" s="71"/>
      <c r="E293" s="55"/>
      <c r="F293" s="69"/>
      <c r="G293" s="60"/>
      <c r="H293" s="55"/>
      <c r="I293" s="69"/>
      <c r="J293" s="60"/>
      <c r="K293" s="62"/>
      <c r="L293" s="63"/>
      <c r="M293" s="44"/>
      <c r="N293" s="44"/>
      <c r="O293" s="44"/>
      <c r="P293" s="6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72"/>
      <c r="C294" s="73"/>
      <c r="D294" s="65"/>
      <c r="E294" s="72"/>
      <c r="F294" s="73"/>
      <c r="G294" s="65"/>
      <c r="H294" s="72"/>
      <c r="I294" s="73"/>
      <c r="J294" s="65"/>
      <c r="K294" s="75"/>
      <c r="L294" s="77"/>
      <c r="M294" s="44"/>
      <c r="N294" s="44"/>
      <c r="O294" s="44"/>
      <c r="P294" s="6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77"/>
      <c r="M295" s="44"/>
      <c r="N295" s="44"/>
      <c r="O295" s="44"/>
      <c r="P295" s="6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0"/>
      <c r="M296" s="92"/>
      <c r="N296" s="92"/>
      <c r="O296" s="92"/>
      <c r="P296" s="95">
        <f>SUMPRODUCT(VALUE(K290:K294))-(SUM(L290:L294))</f>
        <v>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2"/>
      <c r="C297" s="24"/>
      <c r="D297" s="29"/>
      <c r="E297" s="22"/>
      <c r="F297" s="24"/>
      <c r="G297" s="32"/>
      <c r="H297" s="22"/>
      <c r="I297" s="24"/>
      <c r="J297" s="32"/>
      <c r="K297" s="48"/>
      <c r="L297" s="50"/>
      <c r="M297" s="38"/>
      <c r="N297" s="38"/>
      <c r="O297" s="38"/>
      <c r="P297" s="9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55"/>
      <c r="C298" s="56"/>
      <c r="D298" s="58"/>
      <c r="E298" s="55"/>
      <c r="F298" s="56"/>
      <c r="G298" s="60"/>
      <c r="H298" s="55"/>
      <c r="I298" s="56"/>
      <c r="J298" s="60"/>
      <c r="K298" s="62"/>
      <c r="L298" s="63"/>
      <c r="M298" s="44"/>
      <c r="N298" s="44"/>
      <c r="O298" s="44"/>
      <c r="P298" s="6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55"/>
      <c r="C299" s="56"/>
      <c r="D299" s="58"/>
      <c r="E299" s="55"/>
      <c r="F299" s="56"/>
      <c r="G299" s="60"/>
      <c r="H299" s="55"/>
      <c r="I299" s="56"/>
      <c r="J299" s="60"/>
      <c r="K299" s="62"/>
      <c r="L299" s="63"/>
      <c r="M299" s="44"/>
      <c r="N299" s="44"/>
      <c r="O299" s="44"/>
      <c r="P299" s="6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55"/>
      <c r="C300" s="69"/>
      <c r="D300" s="71"/>
      <c r="E300" s="55"/>
      <c r="F300" s="69"/>
      <c r="G300" s="60"/>
      <c r="H300" s="55"/>
      <c r="I300" s="69"/>
      <c r="J300" s="60"/>
      <c r="K300" s="62"/>
      <c r="L300" s="63"/>
      <c r="M300" s="44"/>
      <c r="N300" s="44"/>
      <c r="O300" s="44"/>
      <c r="P300" s="6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72"/>
      <c r="C301" s="73"/>
      <c r="D301" s="65"/>
      <c r="E301" s="72"/>
      <c r="F301" s="73"/>
      <c r="G301" s="65"/>
      <c r="H301" s="72"/>
      <c r="I301" s="73"/>
      <c r="J301" s="65"/>
      <c r="K301" s="75"/>
      <c r="L301" s="77"/>
      <c r="M301" s="44"/>
      <c r="N301" s="44"/>
      <c r="O301" s="44"/>
      <c r="P301" s="6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77"/>
      <c r="M302" s="44"/>
      <c r="N302" s="44"/>
      <c r="O302" s="44"/>
      <c r="P302" s="6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0"/>
      <c r="M303" s="92"/>
      <c r="N303" s="92"/>
      <c r="O303" s="92"/>
      <c r="P303" s="95">
        <f>SUMPRODUCT(VALUE(K297:K301))-(SUM(L297:L301))</f>
        <v>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15.98194444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46" t="s">
        <v>51</v>
      </c>
      <c r="C3" s="47" t="s">
        <v>52</v>
      </c>
      <c r="D3" s="49" t="s">
        <v>53</v>
      </c>
      <c r="E3" s="46"/>
      <c r="F3" s="47"/>
      <c r="G3" s="49"/>
      <c r="H3" s="46"/>
      <c r="I3" s="47"/>
      <c r="J3" s="49"/>
      <c r="K3" s="51" t="s">
        <v>53</v>
      </c>
      <c r="L3" s="53">
        <v>0.009722222222222222</v>
      </c>
      <c r="M3" s="39"/>
      <c r="N3" s="39"/>
      <c r="O3" s="39"/>
      <c r="P3" s="54">
        <v>12.40112268518519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57" t="s">
        <v>62</v>
      </c>
      <c r="C4" s="59" t="s">
        <v>63</v>
      </c>
      <c r="D4" s="61" t="s">
        <v>69</v>
      </c>
      <c r="E4" s="57"/>
      <c r="F4" s="59"/>
      <c r="G4" s="61"/>
      <c r="H4" s="57"/>
      <c r="I4" s="59"/>
      <c r="J4" s="61"/>
      <c r="K4" s="64" t="s">
        <v>69</v>
      </c>
      <c r="L4" s="66">
        <v>0.02013888888888889</v>
      </c>
      <c r="M4" s="44"/>
      <c r="N4" s="44"/>
      <c r="O4" s="44"/>
      <c r="P4" s="67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57" t="s">
        <v>77</v>
      </c>
      <c r="C5" s="59" t="s">
        <v>78</v>
      </c>
      <c r="D5" s="61" t="s">
        <v>79</v>
      </c>
      <c r="E5" s="57"/>
      <c r="F5" s="59"/>
      <c r="G5" s="61"/>
      <c r="H5" s="57"/>
      <c r="I5" s="59"/>
      <c r="J5" s="61"/>
      <c r="K5" s="64" t="s">
        <v>79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57" t="s">
        <v>87</v>
      </c>
      <c r="C6" s="59" t="s">
        <v>88</v>
      </c>
      <c r="D6" s="61" t="s">
        <v>89</v>
      </c>
      <c r="E6" s="57"/>
      <c r="F6" s="59"/>
      <c r="G6" s="61"/>
      <c r="H6" s="57"/>
      <c r="I6" s="59"/>
      <c r="J6" s="61"/>
      <c r="K6" s="64" t="s">
        <v>89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74" t="s">
        <v>93</v>
      </c>
      <c r="C7" s="76" t="s">
        <v>95</v>
      </c>
      <c r="D7" s="78" t="s">
        <v>96</v>
      </c>
      <c r="E7" s="74"/>
      <c r="F7" s="76"/>
      <c r="G7" s="78"/>
      <c r="H7" s="74"/>
      <c r="I7" s="76"/>
      <c r="J7" s="78"/>
      <c r="K7" s="80" t="s">
        <v>96</v>
      </c>
      <c r="L7" s="82">
        <v>0.0125</v>
      </c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3"/>
      <c r="C8" s="83"/>
      <c r="D8" s="85"/>
      <c r="E8" s="83"/>
      <c r="F8" s="83"/>
      <c r="G8" s="85"/>
      <c r="H8" s="83"/>
      <c r="I8" s="83"/>
      <c r="J8" s="85"/>
      <c r="K8" s="85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91"/>
      <c r="C9" s="91"/>
      <c r="D9" s="89"/>
      <c r="E9" s="91"/>
      <c r="F9" s="91"/>
      <c r="G9" s="89"/>
      <c r="H9" s="91"/>
      <c r="I9" s="91"/>
      <c r="J9" s="89"/>
      <c r="K9" s="89"/>
      <c r="L9" s="93"/>
      <c r="M9" s="94"/>
      <c r="N9" s="94"/>
      <c r="O9" s="94"/>
      <c r="P9" s="96">
        <f>SUMPRODUCT(VALUE(K3:K7))-(SUM(L3:L7))</f>
        <v>0.8694444444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46" t="s">
        <v>120</v>
      </c>
      <c r="C10" s="47" t="s">
        <v>122</v>
      </c>
      <c r="D10" s="49" t="s">
        <v>123</v>
      </c>
      <c r="E10" s="46"/>
      <c r="F10" s="47"/>
      <c r="G10" s="49"/>
      <c r="H10" s="46"/>
      <c r="I10" s="47"/>
      <c r="J10" s="49"/>
      <c r="K10" s="51" t="s">
        <v>123</v>
      </c>
      <c r="L10" s="53">
        <v>0.007094907407407407</v>
      </c>
      <c r="M10" s="39"/>
      <c r="N10" s="39" t="s">
        <v>126</v>
      </c>
      <c r="O10" s="38"/>
      <c r="P10" s="98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57" t="s">
        <v>127</v>
      </c>
      <c r="C11" s="59" t="s">
        <v>128</v>
      </c>
      <c r="D11" s="61" t="s">
        <v>129</v>
      </c>
      <c r="E11" s="57"/>
      <c r="F11" s="59"/>
      <c r="G11" s="61"/>
      <c r="H11" s="57"/>
      <c r="I11" s="59"/>
      <c r="J11" s="61"/>
      <c r="K11" s="64" t="s">
        <v>129</v>
      </c>
      <c r="L11" s="66">
        <v>0.01736111111111111</v>
      </c>
      <c r="M11" s="44"/>
      <c r="N11" s="44" t="s">
        <v>126</v>
      </c>
      <c r="O11" s="44"/>
      <c r="P11" s="65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57" t="s">
        <v>135</v>
      </c>
      <c r="C12" s="59" t="s">
        <v>136</v>
      </c>
      <c r="D12" s="61" t="s">
        <v>137</v>
      </c>
      <c r="E12" s="57" t="s">
        <v>138</v>
      </c>
      <c r="F12" s="59" t="s">
        <v>139</v>
      </c>
      <c r="G12" s="61" t="s">
        <v>140</v>
      </c>
      <c r="H12" s="57"/>
      <c r="I12" s="59"/>
      <c r="J12" s="61"/>
      <c r="K12" s="64" t="s">
        <v>140</v>
      </c>
      <c r="L12" s="66">
        <v>0.01388888888888889</v>
      </c>
      <c r="M12" s="44"/>
      <c r="N12" s="44" t="s">
        <v>126</v>
      </c>
      <c r="O12" s="44"/>
      <c r="P12" s="65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57" t="s">
        <v>144</v>
      </c>
      <c r="C13" s="59" t="s">
        <v>145</v>
      </c>
      <c r="D13" s="61" t="s">
        <v>146</v>
      </c>
      <c r="E13" s="57"/>
      <c r="F13" s="59"/>
      <c r="G13" s="61"/>
      <c r="H13" s="57"/>
      <c r="I13" s="59"/>
      <c r="J13" s="61"/>
      <c r="K13" s="64" t="s">
        <v>146</v>
      </c>
      <c r="L13" s="66">
        <v>0.01319444444444444</v>
      </c>
      <c r="M13" s="44"/>
      <c r="N13" s="44" t="s">
        <v>126</v>
      </c>
      <c r="O13" s="44"/>
      <c r="P13" s="65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74" t="s">
        <v>148</v>
      </c>
      <c r="C14" s="76" t="s">
        <v>149</v>
      </c>
      <c r="D14" s="78" t="s">
        <v>150</v>
      </c>
      <c r="E14" s="74"/>
      <c r="F14" s="76"/>
      <c r="G14" s="78"/>
      <c r="H14" s="74"/>
      <c r="I14" s="76"/>
      <c r="J14" s="78"/>
      <c r="K14" s="80" t="s">
        <v>150</v>
      </c>
      <c r="L14" s="82">
        <v>0.01875</v>
      </c>
      <c r="M14" s="44"/>
      <c r="N14" s="44" t="s">
        <v>126</v>
      </c>
      <c r="O14" s="44"/>
      <c r="P14" s="65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3"/>
      <c r="C15" s="83"/>
      <c r="D15" s="85"/>
      <c r="E15" s="83"/>
      <c r="F15" s="83"/>
      <c r="G15" s="85"/>
      <c r="H15" s="83"/>
      <c r="I15" s="83"/>
      <c r="J15" s="85"/>
      <c r="K15" s="85"/>
      <c r="L15" s="88"/>
      <c r="M15" s="44"/>
      <c r="N15" s="44"/>
      <c r="O15" s="44"/>
      <c r="P15" s="65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91"/>
      <c r="C16" s="91"/>
      <c r="D16" s="89"/>
      <c r="E16" s="91"/>
      <c r="F16" s="91"/>
      <c r="G16" s="89"/>
      <c r="H16" s="91"/>
      <c r="I16" s="91"/>
      <c r="J16" s="89"/>
      <c r="K16" s="89"/>
      <c r="L16" s="93"/>
      <c r="M16" s="94"/>
      <c r="N16" s="94"/>
      <c r="O16" s="92"/>
      <c r="P16" s="95">
        <f>SUMPRODUCT(VALUE(K10:K14))-(SUM(L10:L14))</f>
        <v>0.8356712963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46" t="s">
        <v>159</v>
      </c>
      <c r="C17" s="47" t="s">
        <v>160</v>
      </c>
      <c r="D17" s="49" t="s">
        <v>161</v>
      </c>
      <c r="E17" s="46"/>
      <c r="F17" s="47"/>
      <c r="G17" s="49"/>
      <c r="H17" s="46"/>
      <c r="I17" s="47"/>
      <c r="J17" s="49"/>
      <c r="K17" s="51" t="s">
        <v>161</v>
      </c>
      <c r="L17" s="108"/>
      <c r="M17" s="39"/>
      <c r="N17" s="39"/>
      <c r="O17" s="38"/>
      <c r="P17" s="98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57" t="s">
        <v>164</v>
      </c>
      <c r="C18" s="59" t="s">
        <v>165</v>
      </c>
      <c r="D18" s="61" t="s">
        <v>166</v>
      </c>
      <c r="E18" s="57"/>
      <c r="F18" s="59"/>
      <c r="G18" s="61"/>
      <c r="H18" s="57"/>
      <c r="I18" s="59"/>
      <c r="J18" s="61"/>
      <c r="K18" s="64" t="s">
        <v>166</v>
      </c>
      <c r="L18" s="68"/>
      <c r="M18" s="44"/>
      <c r="N18" s="44"/>
      <c r="O18" s="44"/>
      <c r="P18" s="65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57" t="s">
        <v>167</v>
      </c>
      <c r="C19" s="59" t="s">
        <v>168</v>
      </c>
      <c r="D19" s="61" t="s">
        <v>169</v>
      </c>
      <c r="E19" s="57"/>
      <c r="F19" s="59"/>
      <c r="G19" s="61"/>
      <c r="H19" s="57"/>
      <c r="I19" s="59"/>
      <c r="J19" s="61"/>
      <c r="K19" s="64" t="s">
        <v>169</v>
      </c>
      <c r="L19" s="68"/>
      <c r="M19" s="44"/>
      <c r="N19" s="44"/>
      <c r="O19" s="44"/>
      <c r="P19" s="65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57" t="s">
        <v>170</v>
      </c>
      <c r="C20" s="59" t="s">
        <v>171</v>
      </c>
      <c r="D20" s="61" t="s">
        <v>172</v>
      </c>
      <c r="E20" s="57"/>
      <c r="F20" s="59"/>
      <c r="G20" s="61"/>
      <c r="H20" s="57"/>
      <c r="I20" s="59"/>
      <c r="J20" s="61"/>
      <c r="K20" s="64" t="s">
        <v>172</v>
      </c>
      <c r="L20" s="68"/>
      <c r="M20" s="44"/>
      <c r="N20" s="44"/>
      <c r="O20" s="44"/>
      <c r="P20" s="65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74"/>
      <c r="C21" s="76"/>
      <c r="D21" s="78"/>
      <c r="E21" s="74"/>
      <c r="F21" s="76"/>
      <c r="G21" s="78"/>
      <c r="H21" s="74"/>
      <c r="I21" s="76"/>
      <c r="J21" s="78"/>
      <c r="K21" s="80"/>
      <c r="L21" s="88"/>
      <c r="M21" s="44"/>
      <c r="N21" s="44"/>
      <c r="O21" s="44"/>
      <c r="P21" s="65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3"/>
      <c r="C22" s="83"/>
      <c r="D22" s="85"/>
      <c r="E22" s="83"/>
      <c r="F22" s="83"/>
      <c r="G22" s="85"/>
      <c r="H22" s="83"/>
      <c r="I22" s="83"/>
      <c r="J22" s="85"/>
      <c r="K22" s="85"/>
      <c r="L22" s="88"/>
      <c r="M22" s="44"/>
      <c r="N22" s="44"/>
      <c r="O22" s="44"/>
      <c r="P22" s="65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91"/>
      <c r="C23" s="91"/>
      <c r="D23" s="89"/>
      <c r="E23" s="91"/>
      <c r="F23" s="91"/>
      <c r="G23" s="89"/>
      <c r="H23" s="91"/>
      <c r="I23" s="91"/>
      <c r="J23" s="89"/>
      <c r="K23" s="89"/>
      <c r="L23" s="93"/>
      <c r="M23" s="94"/>
      <c r="N23" s="94"/>
      <c r="O23" s="92"/>
      <c r="P23" s="95">
        <f>SUMPRODUCT(VALUE(K17:K21))-(SUM(L17:L21))</f>
        <v>0.6907407407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46"/>
      <c r="C24" s="47"/>
      <c r="D24" s="49"/>
      <c r="E24" s="46"/>
      <c r="F24" s="47"/>
      <c r="G24" s="49"/>
      <c r="H24" s="46"/>
      <c r="I24" s="47"/>
      <c r="J24" s="49"/>
      <c r="K24" s="51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57" t="s">
        <v>182</v>
      </c>
      <c r="C25" s="59" t="s">
        <v>183</v>
      </c>
      <c r="D25" s="61" t="s">
        <v>184</v>
      </c>
      <c r="E25" s="57"/>
      <c r="F25" s="59"/>
      <c r="G25" s="61"/>
      <c r="H25" s="57"/>
      <c r="I25" s="59"/>
      <c r="J25" s="61"/>
      <c r="K25" s="64" t="s">
        <v>184</v>
      </c>
      <c r="L25" s="66">
        <v>0.01472222222222222</v>
      </c>
      <c r="M25" s="44"/>
      <c r="N25" s="44" t="s">
        <v>126</v>
      </c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57" t="s">
        <v>186</v>
      </c>
      <c r="C26" s="59" t="s">
        <v>187</v>
      </c>
      <c r="D26" s="61" t="s">
        <v>188</v>
      </c>
      <c r="E26" s="57"/>
      <c r="F26" s="59"/>
      <c r="G26" s="61"/>
      <c r="H26" s="57"/>
      <c r="I26" s="59"/>
      <c r="J26" s="61"/>
      <c r="K26" s="64" t="s">
        <v>188</v>
      </c>
      <c r="L26" s="66">
        <v>0.01663194444444445</v>
      </c>
      <c r="M26" s="44"/>
      <c r="N26" s="44" t="s">
        <v>126</v>
      </c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57" t="s">
        <v>192</v>
      </c>
      <c r="C27" s="59" t="s">
        <v>193</v>
      </c>
      <c r="D27" s="61" t="s">
        <v>194</v>
      </c>
      <c r="E27" s="57"/>
      <c r="F27" s="59"/>
      <c r="G27" s="61"/>
      <c r="H27" s="57"/>
      <c r="I27" s="59"/>
      <c r="J27" s="61"/>
      <c r="K27" s="64" t="s">
        <v>194</v>
      </c>
      <c r="L27" s="66">
        <v>0.04166666666666666</v>
      </c>
      <c r="M27" s="44"/>
      <c r="N27" s="44" t="s">
        <v>196</v>
      </c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74" t="s">
        <v>197</v>
      </c>
      <c r="C28" s="76" t="s">
        <v>199</v>
      </c>
      <c r="D28" s="78" t="s">
        <v>201</v>
      </c>
      <c r="E28" s="74"/>
      <c r="F28" s="76"/>
      <c r="G28" s="78"/>
      <c r="H28" s="74"/>
      <c r="I28" s="76"/>
      <c r="J28" s="78"/>
      <c r="K28" s="80" t="s">
        <v>201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3"/>
      <c r="C29" s="83"/>
      <c r="D29" s="85"/>
      <c r="E29" s="83"/>
      <c r="F29" s="83"/>
      <c r="G29" s="85"/>
      <c r="H29" s="83"/>
      <c r="I29" s="83"/>
      <c r="J29" s="85"/>
      <c r="K29" s="85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91"/>
      <c r="C30" s="91"/>
      <c r="D30" s="89"/>
      <c r="E30" s="91"/>
      <c r="F30" s="91"/>
      <c r="G30" s="89"/>
      <c r="H30" s="91"/>
      <c r="I30" s="91"/>
      <c r="J30" s="89"/>
      <c r="K30" s="89"/>
      <c r="L30" s="93"/>
      <c r="M30" s="94"/>
      <c r="N30" s="94"/>
      <c r="O30" s="92"/>
      <c r="P30" s="95">
        <f>SUMPRODUCT(VALUE(K24:K28))-(SUM(L24:L28))</f>
        <v>0.6807638889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46" t="s">
        <v>212</v>
      </c>
      <c r="C31" s="47" t="s">
        <v>213</v>
      </c>
      <c r="D31" s="49" t="s">
        <v>214</v>
      </c>
      <c r="E31" s="46"/>
      <c r="F31" s="47"/>
      <c r="G31" s="49"/>
      <c r="H31" s="46"/>
      <c r="I31" s="47"/>
      <c r="J31" s="49"/>
      <c r="K31" s="51" t="s">
        <v>214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57" t="s">
        <v>216</v>
      </c>
      <c r="C32" s="59" t="s">
        <v>217</v>
      </c>
      <c r="D32" s="61" t="s">
        <v>218</v>
      </c>
      <c r="E32" s="57"/>
      <c r="F32" s="59"/>
      <c r="G32" s="61"/>
      <c r="H32" s="57"/>
      <c r="I32" s="59"/>
      <c r="J32" s="61"/>
      <c r="K32" s="64" t="s">
        <v>218</v>
      </c>
      <c r="L32" s="115">
        <v>0.011805555555555555</v>
      </c>
      <c r="M32" s="44"/>
      <c r="N32" s="44" t="s">
        <v>126</v>
      </c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57" t="s">
        <v>222</v>
      </c>
      <c r="C33" s="59" t="s">
        <v>165</v>
      </c>
      <c r="D33" s="61" t="s">
        <v>223</v>
      </c>
      <c r="E33" s="57"/>
      <c r="F33" s="59"/>
      <c r="G33" s="61"/>
      <c r="H33" s="57"/>
      <c r="I33" s="59"/>
      <c r="J33" s="61"/>
      <c r="K33" s="64" t="s">
        <v>223</v>
      </c>
      <c r="L33" s="115">
        <v>0.016666666666666666</v>
      </c>
      <c r="M33" s="44"/>
      <c r="N33" s="44" t="s">
        <v>126</v>
      </c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57" t="s">
        <v>225</v>
      </c>
      <c r="C34" s="119"/>
      <c r="D34" s="61"/>
      <c r="E34" s="57"/>
      <c r="F34" s="59"/>
      <c r="G34" s="61"/>
      <c r="H34" s="57"/>
      <c r="I34" s="59"/>
      <c r="J34" s="61"/>
      <c r="K34" s="64"/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74"/>
      <c r="C35" s="76"/>
      <c r="D35" s="78"/>
      <c r="E35" s="74"/>
      <c r="F35" s="76"/>
      <c r="G35" s="78"/>
      <c r="H35" s="74"/>
      <c r="I35" s="76"/>
      <c r="J35" s="78"/>
      <c r="K35" s="80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3"/>
      <c r="C36" s="83"/>
      <c r="D36" s="85"/>
      <c r="E36" s="83"/>
      <c r="F36" s="83"/>
      <c r="G36" s="85"/>
      <c r="H36" s="83"/>
      <c r="I36" s="83"/>
      <c r="J36" s="85"/>
      <c r="K36" s="85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91"/>
      <c r="C37" s="91"/>
      <c r="D37" s="89"/>
      <c r="E37" s="91"/>
      <c r="F37" s="91"/>
      <c r="G37" s="89"/>
      <c r="H37" s="91"/>
      <c r="I37" s="91"/>
      <c r="J37" s="89"/>
      <c r="K37" s="89"/>
      <c r="L37" s="93"/>
      <c r="M37" s="94"/>
      <c r="N37" s="94"/>
      <c r="O37" s="92"/>
      <c r="P37" s="95">
        <f>SUMPRODUCT(VALUE(K31:K35))-(SUM(L31:L35))</f>
        <v>0.5042013889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46"/>
      <c r="C38" s="47"/>
      <c r="D38" s="49"/>
      <c r="E38" s="46"/>
      <c r="F38" s="47"/>
      <c r="G38" s="49"/>
      <c r="H38" s="46"/>
      <c r="I38" s="47"/>
      <c r="J38" s="49"/>
      <c r="K38" s="51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57"/>
      <c r="C39" s="59"/>
      <c r="D39" s="61"/>
      <c r="E39" s="57"/>
      <c r="F39" s="59"/>
      <c r="G39" s="61"/>
      <c r="H39" s="57"/>
      <c r="I39" s="59"/>
      <c r="J39" s="61"/>
      <c r="K39" s="64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57"/>
      <c r="C40" s="59"/>
      <c r="D40" s="61"/>
      <c r="E40" s="57"/>
      <c r="F40" s="59"/>
      <c r="G40" s="61"/>
      <c r="H40" s="57"/>
      <c r="I40" s="59"/>
      <c r="J40" s="61"/>
      <c r="K40" s="64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57"/>
      <c r="C41" s="59"/>
      <c r="D41" s="61"/>
      <c r="E41" s="57"/>
      <c r="F41" s="59"/>
      <c r="G41" s="61"/>
      <c r="H41" s="57"/>
      <c r="I41" s="59"/>
      <c r="J41" s="61"/>
      <c r="K41" s="64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74"/>
      <c r="C42" s="76"/>
      <c r="D42" s="78"/>
      <c r="E42" s="74"/>
      <c r="F42" s="76"/>
      <c r="G42" s="78"/>
      <c r="H42" s="74"/>
      <c r="I42" s="76"/>
      <c r="J42" s="78"/>
      <c r="K42" s="80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3"/>
      <c r="C43" s="83"/>
      <c r="D43" s="85"/>
      <c r="E43" s="83"/>
      <c r="F43" s="83"/>
      <c r="G43" s="85"/>
      <c r="H43" s="83"/>
      <c r="I43" s="83"/>
      <c r="J43" s="85"/>
      <c r="K43" s="85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91"/>
      <c r="C44" s="91"/>
      <c r="D44" s="89"/>
      <c r="E44" s="91"/>
      <c r="F44" s="91"/>
      <c r="G44" s="89"/>
      <c r="H44" s="91"/>
      <c r="I44" s="91"/>
      <c r="J44" s="89"/>
      <c r="K44" s="89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46"/>
      <c r="C45" s="47"/>
      <c r="D45" s="49"/>
      <c r="E45" s="46"/>
      <c r="F45" s="47"/>
      <c r="G45" s="49"/>
      <c r="H45" s="46"/>
      <c r="I45" s="47"/>
      <c r="J45" s="49"/>
      <c r="K45" s="51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57"/>
      <c r="C46" s="59"/>
      <c r="D46" s="61"/>
      <c r="E46" s="57"/>
      <c r="F46" s="59"/>
      <c r="G46" s="61"/>
      <c r="H46" s="57"/>
      <c r="I46" s="59"/>
      <c r="J46" s="61"/>
      <c r="K46" s="64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57"/>
      <c r="C47" s="59"/>
      <c r="D47" s="61"/>
      <c r="E47" s="57"/>
      <c r="F47" s="59"/>
      <c r="G47" s="61"/>
      <c r="H47" s="57"/>
      <c r="I47" s="59"/>
      <c r="J47" s="61"/>
      <c r="K47" s="64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57"/>
      <c r="C48" s="59"/>
      <c r="D48" s="61"/>
      <c r="E48" s="57"/>
      <c r="F48" s="59"/>
      <c r="G48" s="61"/>
      <c r="H48" s="57"/>
      <c r="I48" s="59"/>
      <c r="J48" s="61"/>
      <c r="K48" s="64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74"/>
      <c r="C49" s="76"/>
      <c r="D49" s="78"/>
      <c r="E49" s="74"/>
      <c r="F49" s="76"/>
      <c r="G49" s="78"/>
      <c r="H49" s="74"/>
      <c r="I49" s="76"/>
      <c r="J49" s="78"/>
      <c r="K49" s="80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3"/>
      <c r="C50" s="83"/>
      <c r="D50" s="85"/>
      <c r="E50" s="83"/>
      <c r="F50" s="83"/>
      <c r="G50" s="85"/>
      <c r="H50" s="83"/>
      <c r="I50" s="83"/>
      <c r="J50" s="85"/>
      <c r="K50" s="85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91"/>
      <c r="C51" s="91"/>
      <c r="D51" s="89"/>
      <c r="E51" s="91"/>
      <c r="F51" s="91"/>
      <c r="G51" s="89"/>
      <c r="H51" s="91"/>
      <c r="I51" s="91"/>
      <c r="J51" s="89"/>
      <c r="K51" s="89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46"/>
      <c r="C52" s="47"/>
      <c r="D52" s="49"/>
      <c r="E52" s="46"/>
      <c r="F52" s="47"/>
      <c r="G52" s="49"/>
      <c r="H52" s="46"/>
      <c r="I52" s="47"/>
      <c r="J52" s="49"/>
      <c r="K52" s="51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57"/>
      <c r="C53" s="59"/>
      <c r="D53" s="61"/>
      <c r="E53" s="57"/>
      <c r="F53" s="59"/>
      <c r="G53" s="61"/>
      <c r="H53" s="57"/>
      <c r="I53" s="59"/>
      <c r="J53" s="61"/>
      <c r="K53" s="64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57"/>
      <c r="C54" s="59"/>
      <c r="D54" s="61"/>
      <c r="E54" s="57"/>
      <c r="F54" s="59"/>
      <c r="G54" s="61"/>
      <c r="H54" s="57"/>
      <c r="I54" s="59"/>
      <c r="J54" s="61"/>
      <c r="K54" s="64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57"/>
      <c r="C55" s="59"/>
      <c r="D55" s="61"/>
      <c r="E55" s="57"/>
      <c r="F55" s="59"/>
      <c r="G55" s="61"/>
      <c r="H55" s="57"/>
      <c r="I55" s="59"/>
      <c r="J55" s="61"/>
      <c r="K55" s="64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74"/>
      <c r="C56" s="76"/>
      <c r="D56" s="78"/>
      <c r="E56" s="74"/>
      <c r="F56" s="76"/>
      <c r="G56" s="78"/>
      <c r="H56" s="74"/>
      <c r="I56" s="76"/>
      <c r="J56" s="78"/>
      <c r="K56" s="80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3"/>
      <c r="C57" s="83"/>
      <c r="D57" s="85"/>
      <c r="E57" s="83"/>
      <c r="F57" s="83"/>
      <c r="G57" s="85"/>
      <c r="H57" s="83"/>
      <c r="I57" s="83"/>
      <c r="J57" s="85"/>
      <c r="K57" s="85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91"/>
      <c r="C58" s="91"/>
      <c r="D58" s="89"/>
      <c r="E58" s="91"/>
      <c r="F58" s="91"/>
      <c r="G58" s="89"/>
      <c r="H58" s="91"/>
      <c r="I58" s="91"/>
      <c r="J58" s="89"/>
      <c r="K58" s="89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46"/>
      <c r="C59" s="47"/>
      <c r="D59" s="49"/>
      <c r="E59" s="46"/>
      <c r="F59" s="47"/>
      <c r="G59" s="49"/>
      <c r="H59" s="46"/>
      <c r="I59" s="47"/>
      <c r="J59" s="49"/>
      <c r="K59" s="51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57"/>
      <c r="C60" s="59"/>
      <c r="D60" s="61"/>
      <c r="E60" s="57"/>
      <c r="F60" s="59"/>
      <c r="G60" s="61"/>
      <c r="H60" s="57"/>
      <c r="I60" s="59"/>
      <c r="J60" s="61"/>
      <c r="K60" s="64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57"/>
      <c r="C61" s="59"/>
      <c r="D61" s="61"/>
      <c r="E61" s="57"/>
      <c r="F61" s="59"/>
      <c r="G61" s="61"/>
      <c r="H61" s="57"/>
      <c r="I61" s="59"/>
      <c r="J61" s="61"/>
      <c r="K61" s="64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57"/>
      <c r="C62" s="59"/>
      <c r="D62" s="61"/>
      <c r="E62" s="57"/>
      <c r="F62" s="59"/>
      <c r="G62" s="61"/>
      <c r="H62" s="57"/>
      <c r="I62" s="59"/>
      <c r="J62" s="61"/>
      <c r="K62" s="64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74"/>
      <c r="C63" s="76"/>
      <c r="D63" s="78"/>
      <c r="E63" s="74"/>
      <c r="F63" s="76"/>
      <c r="G63" s="78"/>
      <c r="H63" s="74"/>
      <c r="I63" s="76"/>
      <c r="J63" s="78"/>
      <c r="K63" s="80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3"/>
      <c r="C64" s="83"/>
      <c r="D64" s="85"/>
      <c r="E64" s="83"/>
      <c r="F64" s="83"/>
      <c r="G64" s="85"/>
      <c r="H64" s="83"/>
      <c r="I64" s="83"/>
      <c r="J64" s="85"/>
      <c r="K64" s="85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91"/>
      <c r="C65" s="91"/>
      <c r="D65" s="89"/>
      <c r="E65" s="91"/>
      <c r="F65" s="91"/>
      <c r="G65" s="89"/>
      <c r="H65" s="91"/>
      <c r="I65" s="91"/>
      <c r="J65" s="89"/>
      <c r="K65" s="89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46"/>
      <c r="C66" s="47"/>
      <c r="D66" s="49"/>
      <c r="E66" s="46"/>
      <c r="F66" s="47"/>
      <c r="G66" s="49"/>
      <c r="H66" s="46"/>
      <c r="I66" s="47"/>
      <c r="J66" s="49"/>
      <c r="K66" s="51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57"/>
      <c r="C67" s="59"/>
      <c r="D67" s="61"/>
      <c r="E67" s="57"/>
      <c r="F67" s="59"/>
      <c r="G67" s="61"/>
      <c r="H67" s="57"/>
      <c r="I67" s="59"/>
      <c r="J67" s="61"/>
      <c r="K67" s="64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57"/>
      <c r="C68" s="59"/>
      <c r="D68" s="61"/>
      <c r="E68" s="57"/>
      <c r="F68" s="59"/>
      <c r="G68" s="61"/>
      <c r="H68" s="57"/>
      <c r="I68" s="59"/>
      <c r="J68" s="61"/>
      <c r="K68" s="64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57"/>
      <c r="C69" s="59"/>
      <c r="D69" s="61"/>
      <c r="E69" s="57"/>
      <c r="F69" s="59"/>
      <c r="G69" s="61"/>
      <c r="H69" s="57"/>
      <c r="I69" s="59"/>
      <c r="J69" s="61"/>
      <c r="K69" s="64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74"/>
      <c r="C70" s="76"/>
      <c r="D70" s="78"/>
      <c r="E70" s="74"/>
      <c r="F70" s="76"/>
      <c r="G70" s="78"/>
      <c r="H70" s="74"/>
      <c r="I70" s="76"/>
      <c r="J70" s="78"/>
      <c r="K70" s="80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3"/>
      <c r="C71" s="83"/>
      <c r="D71" s="85"/>
      <c r="E71" s="83"/>
      <c r="F71" s="83"/>
      <c r="G71" s="85"/>
      <c r="H71" s="83"/>
      <c r="I71" s="83"/>
      <c r="J71" s="85"/>
      <c r="K71" s="85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91"/>
      <c r="C72" s="91"/>
      <c r="D72" s="89"/>
      <c r="E72" s="91"/>
      <c r="F72" s="91"/>
      <c r="G72" s="89"/>
      <c r="H72" s="91"/>
      <c r="I72" s="91"/>
      <c r="J72" s="89"/>
      <c r="K72" s="89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46"/>
      <c r="C73" s="47"/>
      <c r="D73" s="49"/>
      <c r="E73" s="46"/>
      <c r="F73" s="47"/>
      <c r="G73" s="49"/>
      <c r="H73" s="46"/>
      <c r="I73" s="47"/>
      <c r="J73" s="49"/>
      <c r="K73" s="51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57"/>
      <c r="C74" s="59"/>
      <c r="D74" s="61"/>
      <c r="E74" s="57"/>
      <c r="F74" s="59"/>
      <c r="G74" s="61"/>
      <c r="H74" s="57"/>
      <c r="I74" s="59"/>
      <c r="J74" s="61"/>
      <c r="K74" s="64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57"/>
      <c r="C75" s="59"/>
      <c r="D75" s="61"/>
      <c r="E75" s="57"/>
      <c r="F75" s="59"/>
      <c r="G75" s="61"/>
      <c r="H75" s="57"/>
      <c r="I75" s="59"/>
      <c r="J75" s="61"/>
      <c r="K75" s="64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57"/>
      <c r="C76" s="59"/>
      <c r="D76" s="61"/>
      <c r="E76" s="57"/>
      <c r="F76" s="59"/>
      <c r="G76" s="61"/>
      <c r="H76" s="57"/>
      <c r="I76" s="59"/>
      <c r="J76" s="61"/>
      <c r="K76" s="64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74"/>
      <c r="C77" s="76"/>
      <c r="D77" s="78"/>
      <c r="E77" s="74"/>
      <c r="F77" s="76"/>
      <c r="G77" s="78"/>
      <c r="H77" s="74"/>
      <c r="I77" s="76"/>
      <c r="J77" s="78"/>
      <c r="K77" s="80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3"/>
      <c r="C78" s="83"/>
      <c r="D78" s="85"/>
      <c r="E78" s="83"/>
      <c r="F78" s="83"/>
      <c r="G78" s="85"/>
      <c r="H78" s="83"/>
      <c r="I78" s="83"/>
      <c r="J78" s="85"/>
      <c r="K78" s="85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91"/>
      <c r="C79" s="91"/>
      <c r="D79" s="89"/>
      <c r="E79" s="91"/>
      <c r="F79" s="91"/>
      <c r="G79" s="89"/>
      <c r="H79" s="91"/>
      <c r="I79" s="91"/>
      <c r="J79" s="89"/>
      <c r="K79" s="89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46"/>
      <c r="C80" s="47"/>
      <c r="D80" s="49"/>
      <c r="E80" s="46"/>
      <c r="F80" s="47"/>
      <c r="G80" s="49"/>
      <c r="H80" s="46"/>
      <c r="I80" s="47"/>
      <c r="J80" s="49"/>
      <c r="K80" s="51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57"/>
      <c r="C81" s="59"/>
      <c r="D81" s="61"/>
      <c r="E81" s="57"/>
      <c r="F81" s="59"/>
      <c r="G81" s="61"/>
      <c r="H81" s="57"/>
      <c r="I81" s="59"/>
      <c r="J81" s="61"/>
      <c r="K81" s="64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57"/>
      <c r="C82" s="59"/>
      <c r="D82" s="61"/>
      <c r="E82" s="57"/>
      <c r="F82" s="59"/>
      <c r="G82" s="61"/>
      <c r="H82" s="57"/>
      <c r="I82" s="59"/>
      <c r="J82" s="61"/>
      <c r="K82" s="64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57"/>
      <c r="C83" s="59"/>
      <c r="D83" s="61"/>
      <c r="E83" s="57"/>
      <c r="F83" s="59"/>
      <c r="G83" s="61"/>
      <c r="H83" s="57"/>
      <c r="I83" s="59"/>
      <c r="J83" s="61"/>
      <c r="K83" s="64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74"/>
      <c r="C84" s="76"/>
      <c r="D84" s="78"/>
      <c r="E84" s="74"/>
      <c r="F84" s="76"/>
      <c r="G84" s="78"/>
      <c r="H84" s="74"/>
      <c r="I84" s="76"/>
      <c r="J84" s="78"/>
      <c r="K84" s="80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3"/>
      <c r="C85" s="83"/>
      <c r="D85" s="85"/>
      <c r="E85" s="83"/>
      <c r="F85" s="83"/>
      <c r="G85" s="85"/>
      <c r="H85" s="83"/>
      <c r="I85" s="83"/>
      <c r="J85" s="85"/>
      <c r="K85" s="85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91"/>
      <c r="C86" s="91"/>
      <c r="D86" s="89"/>
      <c r="E86" s="91"/>
      <c r="F86" s="91"/>
      <c r="G86" s="89"/>
      <c r="H86" s="91"/>
      <c r="I86" s="91"/>
      <c r="J86" s="89"/>
      <c r="K86" s="89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46"/>
      <c r="C87" s="47"/>
      <c r="D87" s="49"/>
      <c r="E87" s="46"/>
      <c r="F87" s="47"/>
      <c r="G87" s="49"/>
      <c r="H87" s="46"/>
      <c r="I87" s="47"/>
      <c r="J87" s="49"/>
      <c r="K87" s="51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57"/>
      <c r="C88" s="59"/>
      <c r="D88" s="61"/>
      <c r="E88" s="57"/>
      <c r="F88" s="59"/>
      <c r="G88" s="61"/>
      <c r="H88" s="57"/>
      <c r="I88" s="59"/>
      <c r="J88" s="61"/>
      <c r="K88" s="64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57"/>
      <c r="C89" s="59"/>
      <c r="D89" s="61"/>
      <c r="E89" s="57"/>
      <c r="F89" s="59"/>
      <c r="G89" s="61"/>
      <c r="H89" s="57"/>
      <c r="I89" s="59"/>
      <c r="J89" s="61"/>
      <c r="K89" s="64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57"/>
      <c r="C90" s="59"/>
      <c r="D90" s="61"/>
      <c r="E90" s="57"/>
      <c r="F90" s="59"/>
      <c r="G90" s="61"/>
      <c r="H90" s="57"/>
      <c r="I90" s="59"/>
      <c r="J90" s="61"/>
      <c r="K90" s="64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74"/>
      <c r="C91" s="76"/>
      <c r="D91" s="78"/>
      <c r="E91" s="74"/>
      <c r="F91" s="76"/>
      <c r="G91" s="78"/>
      <c r="H91" s="74"/>
      <c r="I91" s="76"/>
      <c r="J91" s="78"/>
      <c r="K91" s="80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3"/>
      <c r="C92" s="83"/>
      <c r="D92" s="85"/>
      <c r="E92" s="83"/>
      <c r="F92" s="83"/>
      <c r="G92" s="85"/>
      <c r="H92" s="83"/>
      <c r="I92" s="83"/>
      <c r="J92" s="85"/>
      <c r="K92" s="85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91"/>
      <c r="C93" s="91"/>
      <c r="D93" s="89"/>
      <c r="E93" s="91"/>
      <c r="F93" s="91"/>
      <c r="G93" s="89"/>
      <c r="H93" s="91"/>
      <c r="I93" s="91"/>
      <c r="J93" s="89"/>
      <c r="K93" s="89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46"/>
      <c r="C94" s="47"/>
      <c r="D94" s="49"/>
      <c r="E94" s="46"/>
      <c r="F94" s="47"/>
      <c r="G94" s="49"/>
      <c r="H94" s="46"/>
      <c r="I94" s="47"/>
      <c r="J94" s="49"/>
      <c r="K94" s="51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57"/>
      <c r="C95" s="59"/>
      <c r="D95" s="61"/>
      <c r="E95" s="57"/>
      <c r="F95" s="59"/>
      <c r="G95" s="61"/>
      <c r="H95" s="57"/>
      <c r="I95" s="59"/>
      <c r="J95" s="61"/>
      <c r="K95" s="64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57"/>
      <c r="C96" s="59"/>
      <c r="D96" s="61"/>
      <c r="E96" s="57"/>
      <c r="F96" s="59"/>
      <c r="G96" s="61"/>
      <c r="H96" s="57"/>
      <c r="I96" s="59"/>
      <c r="J96" s="61"/>
      <c r="K96" s="64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57"/>
      <c r="C97" s="59"/>
      <c r="D97" s="61"/>
      <c r="E97" s="57"/>
      <c r="F97" s="59"/>
      <c r="G97" s="61"/>
      <c r="H97" s="57"/>
      <c r="I97" s="59"/>
      <c r="J97" s="61"/>
      <c r="K97" s="64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74"/>
      <c r="C98" s="76"/>
      <c r="D98" s="78"/>
      <c r="E98" s="74"/>
      <c r="F98" s="76"/>
      <c r="G98" s="78"/>
      <c r="H98" s="74"/>
      <c r="I98" s="76"/>
      <c r="J98" s="78"/>
      <c r="K98" s="80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3"/>
      <c r="C99" s="83"/>
      <c r="D99" s="85"/>
      <c r="E99" s="83"/>
      <c r="F99" s="83"/>
      <c r="G99" s="85"/>
      <c r="H99" s="83"/>
      <c r="I99" s="83"/>
      <c r="J99" s="85"/>
      <c r="K99" s="85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91"/>
      <c r="C100" s="91"/>
      <c r="D100" s="89"/>
      <c r="E100" s="91"/>
      <c r="F100" s="91"/>
      <c r="G100" s="89"/>
      <c r="H100" s="91"/>
      <c r="I100" s="91"/>
      <c r="J100" s="89"/>
      <c r="K100" s="89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46"/>
      <c r="C101" s="47"/>
      <c r="D101" s="49"/>
      <c r="E101" s="46"/>
      <c r="F101" s="47"/>
      <c r="G101" s="49"/>
      <c r="H101" s="46"/>
      <c r="I101" s="47"/>
      <c r="J101" s="49"/>
      <c r="K101" s="51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57"/>
      <c r="C102" s="59"/>
      <c r="D102" s="61"/>
      <c r="E102" s="57"/>
      <c r="F102" s="59"/>
      <c r="G102" s="61"/>
      <c r="H102" s="57"/>
      <c r="I102" s="59"/>
      <c r="J102" s="61"/>
      <c r="K102" s="64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57"/>
      <c r="C103" s="59"/>
      <c r="D103" s="61"/>
      <c r="E103" s="57"/>
      <c r="F103" s="59"/>
      <c r="G103" s="61"/>
      <c r="H103" s="57"/>
      <c r="I103" s="59"/>
      <c r="J103" s="61"/>
      <c r="K103" s="64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57"/>
      <c r="C104" s="59"/>
      <c r="D104" s="61"/>
      <c r="E104" s="57"/>
      <c r="F104" s="59"/>
      <c r="G104" s="61"/>
      <c r="H104" s="57"/>
      <c r="I104" s="59"/>
      <c r="J104" s="61"/>
      <c r="K104" s="64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74"/>
      <c r="C105" s="76"/>
      <c r="D105" s="78"/>
      <c r="E105" s="74"/>
      <c r="F105" s="76"/>
      <c r="G105" s="78"/>
      <c r="H105" s="74"/>
      <c r="I105" s="76"/>
      <c r="J105" s="78"/>
      <c r="K105" s="80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3"/>
      <c r="C106" s="83"/>
      <c r="D106" s="85"/>
      <c r="E106" s="83"/>
      <c r="F106" s="83"/>
      <c r="G106" s="85"/>
      <c r="H106" s="83"/>
      <c r="I106" s="83"/>
      <c r="J106" s="85"/>
      <c r="K106" s="85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91"/>
      <c r="C107" s="91"/>
      <c r="D107" s="89"/>
      <c r="E107" s="91"/>
      <c r="F107" s="91"/>
      <c r="G107" s="89"/>
      <c r="H107" s="91"/>
      <c r="I107" s="91"/>
      <c r="J107" s="89"/>
      <c r="K107" s="89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46"/>
      <c r="C108" s="47"/>
      <c r="D108" s="49"/>
      <c r="E108" s="46"/>
      <c r="F108" s="47"/>
      <c r="G108" s="49"/>
      <c r="H108" s="46"/>
      <c r="I108" s="47"/>
      <c r="J108" s="49"/>
      <c r="K108" s="51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57"/>
      <c r="C109" s="59"/>
      <c r="D109" s="61"/>
      <c r="E109" s="57"/>
      <c r="F109" s="59"/>
      <c r="G109" s="61"/>
      <c r="H109" s="57"/>
      <c r="I109" s="59"/>
      <c r="J109" s="61"/>
      <c r="K109" s="64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57"/>
      <c r="C110" s="59"/>
      <c r="D110" s="61"/>
      <c r="E110" s="57"/>
      <c r="F110" s="59"/>
      <c r="G110" s="61"/>
      <c r="H110" s="57"/>
      <c r="I110" s="59"/>
      <c r="J110" s="61"/>
      <c r="K110" s="64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57"/>
      <c r="C111" s="59"/>
      <c r="D111" s="61"/>
      <c r="E111" s="57"/>
      <c r="F111" s="59"/>
      <c r="G111" s="61"/>
      <c r="H111" s="57"/>
      <c r="I111" s="59"/>
      <c r="J111" s="61"/>
      <c r="K111" s="64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74"/>
      <c r="C112" s="76"/>
      <c r="D112" s="78"/>
      <c r="E112" s="74"/>
      <c r="F112" s="76"/>
      <c r="G112" s="78"/>
      <c r="H112" s="74"/>
      <c r="I112" s="76"/>
      <c r="J112" s="78"/>
      <c r="K112" s="80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3"/>
      <c r="C113" s="83"/>
      <c r="D113" s="85"/>
      <c r="E113" s="83"/>
      <c r="F113" s="83"/>
      <c r="G113" s="85"/>
      <c r="H113" s="83"/>
      <c r="I113" s="83"/>
      <c r="J113" s="85"/>
      <c r="K113" s="85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91"/>
      <c r="C114" s="91"/>
      <c r="D114" s="89"/>
      <c r="E114" s="91"/>
      <c r="F114" s="91"/>
      <c r="G114" s="89"/>
      <c r="H114" s="91"/>
      <c r="I114" s="91"/>
      <c r="J114" s="89"/>
      <c r="K114" s="89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46"/>
      <c r="C115" s="47"/>
      <c r="D115" s="49"/>
      <c r="E115" s="46"/>
      <c r="F115" s="47"/>
      <c r="G115" s="49"/>
      <c r="H115" s="46"/>
      <c r="I115" s="47"/>
      <c r="J115" s="49"/>
      <c r="K115" s="51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57"/>
      <c r="C116" s="59"/>
      <c r="D116" s="61"/>
      <c r="E116" s="57"/>
      <c r="F116" s="59"/>
      <c r="G116" s="61"/>
      <c r="H116" s="57"/>
      <c r="I116" s="59"/>
      <c r="J116" s="61"/>
      <c r="K116" s="64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57"/>
      <c r="C117" s="59"/>
      <c r="D117" s="61"/>
      <c r="E117" s="57"/>
      <c r="F117" s="59"/>
      <c r="G117" s="61"/>
      <c r="H117" s="57"/>
      <c r="I117" s="59"/>
      <c r="J117" s="61"/>
      <c r="K117" s="64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57"/>
      <c r="C118" s="59"/>
      <c r="D118" s="61"/>
      <c r="E118" s="57"/>
      <c r="F118" s="59"/>
      <c r="G118" s="61"/>
      <c r="H118" s="57"/>
      <c r="I118" s="59"/>
      <c r="J118" s="61"/>
      <c r="K118" s="64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74"/>
      <c r="C119" s="76"/>
      <c r="D119" s="78"/>
      <c r="E119" s="74"/>
      <c r="F119" s="76"/>
      <c r="G119" s="78"/>
      <c r="H119" s="74"/>
      <c r="I119" s="76"/>
      <c r="J119" s="78"/>
      <c r="K119" s="80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3"/>
      <c r="C120" s="83"/>
      <c r="D120" s="85"/>
      <c r="E120" s="83"/>
      <c r="F120" s="83"/>
      <c r="G120" s="85"/>
      <c r="H120" s="83"/>
      <c r="I120" s="83"/>
      <c r="J120" s="85"/>
      <c r="K120" s="85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91"/>
      <c r="C121" s="91"/>
      <c r="D121" s="89"/>
      <c r="E121" s="91"/>
      <c r="F121" s="91"/>
      <c r="G121" s="89"/>
      <c r="H121" s="91"/>
      <c r="I121" s="91"/>
      <c r="J121" s="89"/>
      <c r="K121" s="89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46"/>
      <c r="C122" s="47"/>
      <c r="D122" s="49"/>
      <c r="E122" s="46"/>
      <c r="F122" s="47"/>
      <c r="G122" s="49"/>
      <c r="H122" s="46"/>
      <c r="I122" s="47"/>
      <c r="J122" s="49"/>
      <c r="K122" s="51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57"/>
      <c r="C123" s="59"/>
      <c r="D123" s="61"/>
      <c r="E123" s="57"/>
      <c r="F123" s="59"/>
      <c r="G123" s="61"/>
      <c r="H123" s="57"/>
      <c r="I123" s="59"/>
      <c r="J123" s="61"/>
      <c r="K123" s="64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57"/>
      <c r="C124" s="59"/>
      <c r="D124" s="61"/>
      <c r="E124" s="57"/>
      <c r="F124" s="59"/>
      <c r="G124" s="61"/>
      <c r="H124" s="57"/>
      <c r="I124" s="59"/>
      <c r="J124" s="61"/>
      <c r="K124" s="64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57"/>
      <c r="C125" s="59"/>
      <c r="D125" s="61"/>
      <c r="E125" s="57"/>
      <c r="F125" s="59"/>
      <c r="G125" s="61"/>
      <c r="H125" s="57"/>
      <c r="I125" s="59"/>
      <c r="J125" s="61"/>
      <c r="K125" s="64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74"/>
      <c r="C126" s="76"/>
      <c r="D126" s="78"/>
      <c r="E126" s="74"/>
      <c r="F126" s="76"/>
      <c r="G126" s="78"/>
      <c r="H126" s="74"/>
      <c r="I126" s="76"/>
      <c r="J126" s="78"/>
      <c r="K126" s="80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3"/>
      <c r="C127" s="83"/>
      <c r="D127" s="85"/>
      <c r="E127" s="83"/>
      <c r="F127" s="83"/>
      <c r="G127" s="85"/>
      <c r="H127" s="83"/>
      <c r="I127" s="83"/>
      <c r="J127" s="85"/>
      <c r="K127" s="85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91"/>
      <c r="C128" s="91"/>
      <c r="D128" s="89"/>
      <c r="E128" s="91"/>
      <c r="F128" s="91"/>
      <c r="G128" s="89"/>
      <c r="H128" s="91"/>
      <c r="I128" s="91"/>
      <c r="J128" s="89"/>
      <c r="K128" s="89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46"/>
      <c r="C129" s="47"/>
      <c r="D129" s="49"/>
      <c r="E129" s="46"/>
      <c r="F129" s="47"/>
      <c r="G129" s="49"/>
      <c r="H129" s="46"/>
      <c r="I129" s="47"/>
      <c r="J129" s="49"/>
      <c r="K129" s="51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57"/>
      <c r="C130" s="59"/>
      <c r="D130" s="61"/>
      <c r="E130" s="57"/>
      <c r="F130" s="59"/>
      <c r="G130" s="61"/>
      <c r="H130" s="57"/>
      <c r="I130" s="59"/>
      <c r="J130" s="61"/>
      <c r="K130" s="64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57"/>
      <c r="C131" s="59"/>
      <c r="D131" s="61"/>
      <c r="E131" s="57"/>
      <c r="F131" s="59"/>
      <c r="G131" s="61"/>
      <c r="H131" s="57"/>
      <c r="I131" s="59"/>
      <c r="J131" s="61"/>
      <c r="K131" s="64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57"/>
      <c r="C132" s="59"/>
      <c r="D132" s="61"/>
      <c r="E132" s="57"/>
      <c r="F132" s="59"/>
      <c r="G132" s="61"/>
      <c r="H132" s="57"/>
      <c r="I132" s="59"/>
      <c r="J132" s="61"/>
      <c r="K132" s="64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74"/>
      <c r="C133" s="76"/>
      <c r="D133" s="78"/>
      <c r="E133" s="74"/>
      <c r="F133" s="76"/>
      <c r="G133" s="78"/>
      <c r="H133" s="74"/>
      <c r="I133" s="76"/>
      <c r="J133" s="78"/>
      <c r="K133" s="80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3"/>
      <c r="C134" s="83"/>
      <c r="D134" s="85"/>
      <c r="E134" s="83"/>
      <c r="F134" s="83"/>
      <c r="G134" s="85"/>
      <c r="H134" s="83"/>
      <c r="I134" s="83"/>
      <c r="J134" s="85"/>
      <c r="K134" s="85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91"/>
      <c r="C135" s="91"/>
      <c r="D135" s="89"/>
      <c r="E135" s="91"/>
      <c r="F135" s="91"/>
      <c r="G135" s="89"/>
      <c r="H135" s="91"/>
      <c r="I135" s="91"/>
      <c r="J135" s="89"/>
      <c r="K135" s="89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46"/>
      <c r="C136" s="47"/>
      <c r="D136" s="49"/>
      <c r="E136" s="46"/>
      <c r="F136" s="47"/>
      <c r="G136" s="49"/>
      <c r="H136" s="46"/>
      <c r="I136" s="47"/>
      <c r="J136" s="49"/>
      <c r="K136" s="51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57"/>
      <c r="C137" s="59"/>
      <c r="D137" s="61"/>
      <c r="E137" s="57"/>
      <c r="F137" s="59"/>
      <c r="G137" s="61"/>
      <c r="H137" s="57"/>
      <c r="I137" s="59"/>
      <c r="J137" s="61"/>
      <c r="K137" s="64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57"/>
      <c r="C138" s="59"/>
      <c r="D138" s="61"/>
      <c r="E138" s="57"/>
      <c r="F138" s="59"/>
      <c r="G138" s="61"/>
      <c r="H138" s="57"/>
      <c r="I138" s="59"/>
      <c r="J138" s="61"/>
      <c r="K138" s="64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57"/>
      <c r="C139" s="59"/>
      <c r="D139" s="61"/>
      <c r="E139" s="57"/>
      <c r="F139" s="59"/>
      <c r="G139" s="61"/>
      <c r="H139" s="57"/>
      <c r="I139" s="59"/>
      <c r="J139" s="61"/>
      <c r="K139" s="64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74"/>
      <c r="C140" s="76"/>
      <c r="D140" s="78"/>
      <c r="E140" s="74"/>
      <c r="F140" s="76"/>
      <c r="G140" s="78"/>
      <c r="H140" s="74"/>
      <c r="I140" s="76"/>
      <c r="J140" s="78"/>
      <c r="K140" s="80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3"/>
      <c r="C141" s="83"/>
      <c r="D141" s="85"/>
      <c r="E141" s="83"/>
      <c r="F141" s="83"/>
      <c r="G141" s="85"/>
      <c r="H141" s="83"/>
      <c r="I141" s="83"/>
      <c r="J141" s="85"/>
      <c r="K141" s="85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91"/>
      <c r="C142" s="91"/>
      <c r="D142" s="89"/>
      <c r="E142" s="91"/>
      <c r="F142" s="91"/>
      <c r="G142" s="89"/>
      <c r="H142" s="91"/>
      <c r="I142" s="91"/>
      <c r="J142" s="89"/>
      <c r="K142" s="89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46"/>
      <c r="C143" s="47"/>
      <c r="D143" s="49"/>
      <c r="E143" s="46"/>
      <c r="F143" s="47"/>
      <c r="G143" s="49"/>
      <c r="H143" s="46"/>
      <c r="I143" s="47"/>
      <c r="J143" s="49"/>
      <c r="K143" s="51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57"/>
      <c r="C144" s="59"/>
      <c r="D144" s="61"/>
      <c r="E144" s="57"/>
      <c r="F144" s="59"/>
      <c r="G144" s="61"/>
      <c r="H144" s="57"/>
      <c r="I144" s="59"/>
      <c r="J144" s="61"/>
      <c r="K144" s="64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57"/>
      <c r="C145" s="59"/>
      <c r="D145" s="61"/>
      <c r="E145" s="57"/>
      <c r="F145" s="59"/>
      <c r="G145" s="61"/>
      <c r="H145" s="57"/>
      <c r="I145" s="59"/>
      <c r="J145" s="61"/>
      <c r="K145" s="64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57"/>
      <c r="C146" s="59"/>
      <c r="D146" s="61"/>
      <c r="E146" s="57"/>
      <c r="F146" s="59"/>
      <c r="G146" s="61"/>
      <c r="H146" s="57"/>
      <c r="I146" s="59"/>
      <c r="J146" s="61"/>
      <c r="K146" s="64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74"/>
      <c r="C147" s="76"/>
      <c r="D147" s="78"/>
      <c r="E147" s="74"/>
      <c r="F147" s="76"/>
      <c r="G147" s="78"/>
      <c r="H147" s="74"/>
      <c r="I147" s="76"/>
      <c r="J147" s="78"/>
      <c r="K147" s="80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3"/>
      <c r="C148" s="83"/>
      <c r="D148" s="85"/>
      <c r="E148" s="83"/>
      <c r="F148" s="83"/>
      <c r="G148" s="85"/>
      <c r="H148" s="83"/>
      <c r="I148" s="83"/>
      <c r="J148" s="85"/>
      <c r="K148" s="85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91"/>
      <c r="C149" s="91"/>
      <c r="D149" s="89"/>
      <c r="E149" s="91"/>
      <c r="F149" s="91"/>
      <c r="G149" s="89"/>
      <c r="H149" s="91"/>
      <c r="I149" s="91"/>
      <c r="J149" s="89"/>
      <c r="K149" s="89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46"/>
      <c r="C150" s="47"/>
      <c r="D150" s="49"/>
      <c r="E150" s="46"/>
      <c r="F150" s="47"/>
      <c r="G150" s="49"/>
      <c r="H150" s="46"/>
      <c r="I150" s="47"/>
      <c r="J150" s="49"/>
      <c r="K150" s="51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57"/>
      <c r="C151" s="59"/>
      <c r="D151" s="61"/>
      <c r="E151" s="57"/>
      <c r="F151" s="59"/>
      <c r="G151" s="61"/>
      <c r="H151" s="57"/>
      <c r="I151" s="59"/>
      <c r="J151" s="61"/>
      <c r="K151" s="64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57"/>
      <c r="C152" s="59"/>
      <c r="D152" s="61"/>
      <c r="E152" s="57"/>
      <c r="F152" s="59"/>
      <c r="G152" s="61"/>
      <c r="H152" s="57"/>
      <c r="I152" s="59"/>
      <c r="J152" s="61"/>
      <c r="K152" s="64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57"/>
      <c r="C153" s="59"/>
      <c r="D153" s="61"/>
      <c r="E153" s="57"/>
      <c r="F153" s="59"/>
      <c r="G153" s="61"/>
      <c r="H153" s="57"/>
      <c r="I153" s="59"/>
      <c r="J153" s="61"/>
      <c r="K153" s="64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74"/>
      <c r="C154" s="76"/>
      <c r="D154" s="78"/>
      <c r="E154" s="74"/>
      <c r="F154" s="76"/>
      <c r="G154" s="78"/>
      <c r="H154" s="74"/>
      <c r="I154" s="76"/>
      <c r="J154" s="78"/>
      <c r="K154" s="80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3"/>
      <c r="C155" s="83"/>
      <c r="D155" s="85"/>
      <c r="E155" s="83"/>
      <c r="F155" s="83"/>
      <c r="G155" s="85"/>
      <c r="H155" s="83"/>
      <c r="I155" s="83"/>
      <c r="J155" s="85"/>
      <c r="K155" s="85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91"/>
      <c r="C156" s="91"/>
      <c r="D156" s="89"/>
      <c r="E156" s="91"/>
      <c r="F156" s="91"/>
      <c r="G156" s="89"/>
      <c r="H156" s="91"/>
      <c r="I156" s="91"/>
      <c r="J156" s="89"/>
      <c r="K156" s="89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46"/>
      <c r="C157" s="47"/>
      <c r="D157" s="49"/>
      <c r="E157" s="46"/>
      <c r="F157" s="47"/>
      <c r="G157" s="49"/>
      <c r="H157" s="46"/>
      <c r="I157" s="47"/>
      <c r="J157" s="49"/>
      <c r="K157" s="51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57"/>
      <c r="C158" s="59"/>
      <c r="D158" s="61"/>
      <c r="E158" s="57"/>
      <c r="F158" s="59"/>
      <c r="G158" s="61"/>
      <c r="H158" s="57"/>
      <c r="I158" s="59"/>
      <c r="J158" s="61"/>
      <c r="K158" s="64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57"/>
      <c r="C159" s="59"/>
      <c r="D159" s="61"/>
      <c r="E159" s="57"/>
      <c r="F159" s="59"/>
      <c r="G159" s="61"/>
      <c r="H159" s="57"/>
      <c r="I159" s="59"/>
      <c r="J159" s="61"/>
      <c r="K159" s="64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57"/>
      <c r="C160" s="59"/>
      <c r="D160" s="61"/>
      <c r="E160" s="57"/>
      <c r="F160" s="59"/>
      <c r="G160" s="61"/>
      <c r="H160" s="57"/>
      <c r="I160" s="59"/>
      <c r="J160" s="61"/>
      <c r="K160" s="64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74"/>
      <c r="C161" s="76"/>
      <c r="D161" s="78"/>
      <c r="E161" s="74"/>
      <c r="F161" s="76"/>
      <c r="G161" s="78"/>
      <c r="H161" s="74"/>
      <c r="I161" s="76"/>
      <c r="J161" s="78"/>
      <c r="K161" s="80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3"/>
      <c r="C162" s="83"/>
      <c r="D162" s="85"/>
      <c r="E162" s="83"/>
      <c r="F162" s="83"/>
      <c r="G162" s="85"/>
      <c r="H162" s="83"/>
      <c r="I162" s="83"/>
      <c r="J162" s="85"/>
      <c r="K162" s="85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91"/>
      <c r="C163" s="91"/>
      <c r="D163" s="89"/>
      <c r="E163" s="91"/>
      <c r="F163" s="91"/>
      <c r="G163" s="89"/>
      <c r="H163" s="91"/>
      <c r="I163" s="91"/>
      <c r="J163" s="89"/>
      <c r="K163" s="89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46"/>
      <c r="C164" s="47"/>
      <c r="D164" s="49"/>
      <c r="E164" s="46"/>
      <c r="F164" s="47"/>
      <c r="G164" s="49"/>
      <c r="H164" s="46"/>
      <c r="I164" s="47"/>
      <c r="J164" s="49"/>
      <c r="K164" s="51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57"/>
      <c r="C165" s="59"/>
      <c r="D165" s="61"/>
      <c r="E165" s="57"/>
      <c r="F165" s="59"/>
      <c r="G165" s="61"/>
      <c r="H165" s="57"/>
      <c r="I165" s="59"/>
      <c r="J165" s="61"/>
      <c r="K165" s="64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57"/>
      <c r="C166" s="59"/>
      <c r="D166" s="61"/>
      <c r="E166" s="57"/>
      <c r="F166" s="59"/>
      <c r="G166" s="61"/>
      <c r="H166" s="57"/>
      <c r="I166" s="59"/>
      <c r="J166" s="61"/>
      <c r="K166" s="64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57"/>
      <c r="C167" s="59"/>
      <c r="D167" s="61"/>
      <c r="E167" s="57"/>
      <c r="F167" s="59"/>
      <c r="G167" s="61"/>
      <c r="H167" s="57"/>
      <c r="I167" s="59"/>
      <c r="J167" s="61"/>
      <c r="K167" s="64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74"/>
      <c r="C168" s="76"/>
      <c r="D168" s="78"/>
      <c r="E168" s="74"/>
      <c r="F168" s="76"/>
      <c r="G168" s="78"/>
      <c r="H168" s="74"/>
      <c r="I168" s="76"/>
      <c r="J168" s="78"/>
      <c r="K168" s="80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3"/>
      <c r="C169" s="83"/>
      <c r="D169" s="85"/>
      <c r="E169" s="83"/>
      <c r="F169" s="83"/>
      <c r="G169" s="85"/>
      <c r="H169" s="83"/>
      <c r="I169" s="83"/>
      <c r="J169" s="85"/>
      <c r="K169" s="85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91"/>
      <c r="C170" s="91"/>
      <c r="D170" s="89"/>
      <c r="E170" s="91"/>
      <c r="F170" s="91"/>
      <c r="G170" s="89"/>
      <c r="H170" s="91"/>
      <c r="I170" s="91"/>
      <c r="J170" s="89"/>
      <c r="K170" s="89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46"/>
      <c r="C171" s="47"/>
      <c r="D171" s="49"/>
      <c r="E171" s="46"/>
      <c r="F171" s="47"/>
      <c r="G171" s="49"/>
      <c r="H171" s="46"/>
      <c r="I171" s="47"/>
      <c r="J171" s="49"/>
      <c r="K171" s="51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57"/>
      <c r="C172" s="59"/>
      <c r="D172" s="61"/>
      <c r="E172" s="57"/>
      <c r="F172" s="59"/>
      <c r="G172" s="61"/>
      <c r="H172" s="57"/>
      <c r="I172" s="59"/>
      <c r="J172" s="61"/>
      <c r="K172" s="64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57"/>
      <c r="C173" s="59"/>
      <c r="D173" s="61"/>
      <c r="E173" s="57"/>
      <c r="F173" s="59"/>
      <c r="G173" s="61"/>
      <c r="H173" s="57"/>
      <c r="I173" s="59"/>
      <c r="J173" s="61"/>
      <c r="K173" s="64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57"/>
      <c r="C174" s="59"/>
      <c r="D174" s="61"/>
      <c r="E174" s="57"/>
      <c r="F174" s="59"/>
      <c r="G174" s="61"/>
      <c r="H174" s="57"/>
      <c r="I174" s="59"/>
      <c r="J174" s="61"/>
      <c r="K174" s="64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74"/>
      <c r="C175" s="76"/>
      <c r="D175" s="78"/>
      <c r="E175" s="74"/>
      <c r="F175" s="76"/>
      <c r="G175" s="78"/>
      <c r="H175" s="74"/>
      <c r="I175" s="76"/>
      <c r="J175" s="78"/>
      <c r="K175" s="80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3"/>
      <c r="C176" s="83"/>
      <c r="D176" s="85"/>
      <c r="E176" s="83"/>
      <c r="F176" s="83"/>
      <c r="G176" s="85"/>
      <c r="H176" s="83"/>
      <c r="I176" s="83"/>
      <c r="J176" s="85"/>
      <c r="K176" s="85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91"/>
      <c r="C177" s="91"/>
      <c r="D177" s="89"/>
      <c r="E177" s="91"/>
      <c r="F177" s="91"/>
      <c r="G177" s="89"/>
      <c r="H177" s="91"/>
      <c r="I177" s="91"/>
      <c r="J177" s="89"/>
      <c r="K177" s="89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46"/>
      <c r="C178" s="47"/>
      <c r="D178" s="49"/>
      <c r="E178" s="46"/>
      <c r="F178" s="47"/>
      <c r="G178" s="49"/>
      <c r="H178" s="46"/>
      <c r="I178" s="47"/>
      <c r="J178" s="49"/>
      <c r="K178" s="51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57"/>
      <c r="C179" s="59"/>
      <c r="D179" s="61"/>
      <c r="E179" s="57"/>
      <c r="F179" s="59"/>
      <c r="G179" s="61"/>
      <c r="H179" s="57"/>
      <c r="I179" s="59"/>
      <c r="J179" s="61"/>
      <c r="K179" s="64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57"/>
      <c r="C180" s="59"/>
      <c r="D180" s="61"/>
      <c r="E180" s="57"/>
      <c r="F180" s="59"/>
      <c r="G180" s="61"/>
      <c r="H180" s="57"/>
      <c r="I180" s="59"/>
      <c r="J180" s="61"/>
      <c r="K180" s="64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57"/>
      <c r="C181" s="59"/>
      <c r="D181" s="61"/>
      <c r="E181" s="57"/>
      <c r="F181" s="59"/>
      <c r="G181" s="61"/>
      <c r="H181" s="57"/>
      <c r="I181" s="59"/>
      <c r="J181" s="61"/>
      <c r="K181" s="64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74"/>
      <c r="C182" s="76"/>
      <c r="D182" s="78"/>
      <c r="E182" s="74"/>
      <c r="F182" s="76"/>
      <c r="G182" s="78"/>
      <c r="H182" s="74"/>
      <c r="I182" s="76"/>
      <c r="J182" s="78"/>
      <c r="K182" s="80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3"/>
      <c r="C183" s="83"/>
      <c r="D183" s="85"/>
      <c r="E183" s="83"/>
      <c r="F183" s="83"/>
      <c r="G183" s="85"/>
      <c r="H183" s="83"/>
      <c r="I183" s="83"/>
      <c r="J183" s="85"/>
      <c r="K183" s="85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91"/>
      <c r="C184" s="91"/>
      <c r="D184" s="89"/>
      <c r="E184" s="91"/>
      <c r="F184" s="91"/>
      <c r="G184" s="89"/>
      <c r="H184" s="91"/>
      <c r="I184" s="91"/>
      <c r="J184" s="89"/>
      <c r="K184" s="89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46"/>
      <c r="C185" s="47"/>
      <c r="D185" s="49"/>
      <c r="E185" s="46"/>
      <c r="F185" s="47"/>
      <c r="G185" s="49"/>
      <c r="H185" s="46"/>
      <c r="I185" s="47"/>
      <c r="J185" s="49"/>
      <c r="K185" s="51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57"/>
      <c r="C186" s="59"/>
      <c r="D186" s="61"/>
      <c r="E186" s="57"/>
      <c r="F186" s="59"/>
      <c r="G186" s="61"/>
      <c r="H186" s="57"/>
      <c r="I186" s="59"/>
      <c r="J186" s="61"/>
      <c r="K186" s="64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57"/>
      <c r="C187" s="59"/>
      <c r="D187" s="61"/>
      <c r="E187" s="57"/>
      <c r="F187" s="59"/>
      <c r="G187" s="61"/>
      <c r="H187" s="57"/>
      <c r="I187" s="59"/>
      <c r="J187" s="61"/>
      <c r="K187" s="64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57"/>
      <c r="C188" s="59"/>
      <c r="D188" s="61"/>
      <c r="E188" s="57"/>
      <c r="F188" s="59"/>
      <c r="G188" s="61"/>
      <c r="H188" s="57"/>
      <c r="I188" s="59"/>
      <c r="J188" s="61"/>
      <c r="K188" s="64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74"/>
      <c r="C189" s="76"/>
      <c r="D189" s="78"/>
      <c r="E189" s="74"/>
      <c r="F189" s="76"/>
      <c r="G189" s="78"/>
      <c r="H189" s="74"/>
      <c r="I189" s="76"/>
      <c r="J189" s="78"/>
      <c r="K189" s="80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3"/>
      <c r="C190" s="83"/>
      <c r="D190" s="85"/>
      <c r="E190" s="83"/>
      <c r="F190" s="83"/>
      <c r="G190" s="85"/>
      <c r="H190" s="83"/>
      <c r="I190" s="83"/>
      <c r="J190" s="85"/>
      <c r="K190" s="85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91"/>
      <c r="C191" s="91"/>
      <c r="D191" s="89"/>
      <c r="E191" s="91"/>
      <c r="F191" s="91"/>
      <c r="G191" s="89"/>
      <c r="H191" s="91"/>
      <c r="I191" s="91"/>
      <c r="J191" s="89"/>
      <c r="K191" s="89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46"/>
      <c r="C192" s="47"/>
      <c r="D192" s="49"/>
      <c r="E192" s="46"/>
      <c r="F192" s="47"/>
      <c r="G192" s="49"/>
      <c r="H192" s="46"/>
      <c r="I192" s="47"/>
      <c r="J192" s="49"/>
      <c r="K192" s="51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57"/>
      <c r="C193" s="59"/>
      <c r="D193" s="61"/>
      <c r="E193" s="57"/>
      <c r="F193" s="59"/>
      <c r="G193" s="61"/>
      <c r="H193" s="57"/>
      <c r="I193" s="59"/>
      <c r="J193" s="61"/>
      <c r="K193" s="64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57"/>
      <c r="C194" s="59"/>
      <c r="D194" s="61"/>
      <c r="E194" s="57"/>
      <c r="F194" s="59"/>
      <c r="G194" s="61"/>
      <c r="H194" s="57"/>
      <c r="I194" s="59"/>
      <c r="J194" s="61"/>
      <c r="K194" s="64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57"/>
      <c r="C195" s="59"/>
      <c r="D195" s="61"/>
      <c r="E195" s="57"/>
      <c r="F195" s="59"/>
      <c r="G195" s="61"/>
      <c r="H195" s="57"/>
      <c r="I195" s="59"/>
      <c r="J195" s="61"/>
      <c r="K195" s="64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74"/>
      <c r="C196" s="76"/>
      <c r="D196" s="78"/>
      <c r="E196" s="74"/>
      <c r="F196" s="76"/>
      <c r="G196" s="78"/>
      <c r="H196" s="74"/>
      <c r="I196" s="76"/>
      <c r="J196" s="78"/>
      <c r="K196" s="80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3"/>
      <c r="C197" s="83"/>
      <c r="D197" s="85"/>
      <c r="E197" s="83"/>
      <c r="F197" s="83"/>
      <c r="G197" s="85"/>
      <c r="H197" s="83"/>
      <c r="I197" s="83"/>
      <c r="J197" s="85"/>
      <c r="K197" s="85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91"/>
      <c r="C198" s="91"/>
      <c r="D198" s="89"/>
      <c r="E198" s="91"/>
      <c r="F198" s="91"/>
      <c r="G198" s="89"/>
      <c r="H198" s="91"/>
      <c r="I198" s="91"/>
      <c r="J198" s="89"/>
      <c r="K198" s="89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46"/>
      <c r="C199" s="47"/>
      <c r="D199" s="49"/>
      <c r="E199" s="46"/>
      <c r="F199" s="47"/>
      <c r="G199" s="49"/>
      <c r="H199" s="46"/>
      <c r="I199" s="47"/>
      <c r="J199" s="49"/>
      <c r="K199" s="51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57"/>
      <c r="C200" s="59"/>
      <c r="D200" s="61"/>
      <c r="E200" s="57"/>
      <c r="F200" s="59"/>
      <c r="G200" s="61"/>
      <c r="H200" s="57"/>
      <c r="I200" s="59"/>
      <c r="J200" s="61"/>
      <c r="K200" s="64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57"/>
      <c r="C201" s="59"/>
      <c r="D201" s="61"/>
      <c r="E201" s="57"/>
      <c r="F201" s="59"/>
      <c r="G201" s="61"/>
      <c r="H201" s="57"/>
      <c r="I201" s="59"/>
      <c r="J201" s="61"/>
      <c r="K201" s="64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57"/>
      <c r="C202" s="59"/>
      <c r="D202" s="61"/>
      <c r="E202" s="57"/>
      <c r="F202" s="59"/>
      <c r="G202" s="61"/>
      <c r="H202" s="57"/>
      <c r="I202" s="59"/>
      <c r="J202" s="61"/>
      <c r="K202" s="64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74"/>
      <c r="C203" s="76"/>
      <c r="D203" s="78"/>
      <c r="E203" s="74"/>
      <c r="F203" s="76"/>
      <c r="G203" s="78"/>
      <c r="H203" s="74"/>
      <c r="I203" s="76"/>
      <c r="J203" s="78"/>
      <c r="K203" s="80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3"/>
      <c r="C204" s="83"/>
      <c r="D204" s="85"/>
      <c r="E204" s="83"/>
      <c r="F204" s="83"/>
      <c r="G204" s="85"/>
      <c r="H204" s="83"/>
      <c r="I204" s="83"/>
      <c r="J204" s="85"/>
      <c r="K204" s="85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91"/>
      <c r="C205" s="91"/>
      <c r="D205" s="89"/>
      <c r="E205" s="91"/>
      <c r="F205" s="91"/>
      <c r="G205" s="89"/>
      <c r="H205" s="91"/>
      <c r="I205" s="91"/>
      <c r="J205" s="89"/>
      <c r="K205" s="89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46"/>
      <c r="C206" s="47"/>
      <c r="D206" s="49"/>
      <c r="E206" s="46"/>
      <c r="F206" s="47"/>
      <c r="G206" s="49"/>
      <c r="H206" s="46"/>
      <c r="I206" s="47"/>
      <c r="J206" s="49"/>
      <c r="K206" s="51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57"/>
      <c r="C207" s="59"/>
      <c r="D207" s="61"/>
      <c r="E207" s="57"/>
      <c r="F207" s="59"/>
      <c r="G207" s="61"/>
      <c r="H207" s="57"/>
      <c r="I207" s="59"/>
      <c r="J207" s="61"/>
      <c r="K207" s="64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57"/>
      <c r="C208" s="59"/>
      <c r="D208" s="61"/>
      <c r="E208" s="57"/>
      <c r="F208" s="59"/>
      <c r="G208" s="61"/>
      <c r="H208" s="57"/>
      <c r="I208" s="59"/>
      <c r="J208" s="61"/>
      <c r="K208" s="64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57"/>
      <c r="C209" s="59"/>
      <c r="D209" s="61"/>
      <c r="E209" s="57"/>
      <c r="F209" s="59"/>
      <c r="G209" s="61"/>
      <c r="H209" s="57"/>
      <c r="I209" s="59"/>
      <c r="J209" s="61"/>
      <c r="K209" s="64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74"/>
      <c r="C210" s="76"/>
      <c r="D210" s="78"/>
      <c r="E210" s="74"/>
      <c r="F210" s="76"/>
      <c r="G210" s="78"/>
      <c r="H210" s="74"/>
      <c r="I210" s="76"/>
      <c r="J210" s="78"/>
      <c r="K210" s="80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3"/>
      <c r="C211" s="83"/>
      <c r="D211" s="85"/>
      <c r="E211" s="83"/>
      <c r="F211" s="83"/>
      <c r="G211" s="85"/>
      <c r="H211" s="83"/>
      <c r="I211" s="83"/>
      <c r="J211" s="85"/>
      <c r="K211" s="85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91"/>
      <c r="C212" s="91"/>
      <c r="D212" s="89"/>
      <c r="E212" s="91"/>
      <c r="F212" s="91"/>
      <c r="G212" s="89"/>
      <c r="H212" s="91"/>
      <c r="I212" s="91"/>
      <c r="J212" s="89"/>
      <c r="K212" s="89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46"/>
      <c r="C213" s="47"/>
      <c r="D213" s="49"/>
      <c r="E213" s="46"/>
      <c r="F213" s="47"/>
      <c r="G213" s="49"/>
      <c r="H213" s="46"/>
      <c r="I213" s="47"/>
      <c r="J213" s="49"/>
      <c r="K213" s="51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57"/>
      <c r="C214" s="59"/>
      <c r="D214" s="61"/>
      <c r="E214" s="57"/>
      <c r="F214" s="59"/>
      <c r="G214" s="61"/>
      <c r="H214" s="57"/>
      <c r="I214" s="59"/>
      <c r="J214" s="61"/>
      <c r="K214" s="64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57"/>
      <c r="C215" s="59"/>
      <c r="D215" s="61"/>
      <c r="E215" s="57"/>
      <c r="F215" s="59"/>
      <c r="G215" s="61"/>
      <c r="H215" s="57"/>
      <c r="I215" s="59"/>
      <c r="J215" s="61"/>
      <c r="K215" s="64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57"/>
      <c r="C216" s="59"/>
      <c r="D216" s="61"/>
      <c r="E216" s="57"/>
      <c r="F216" s="59"/>
      <c r="G216" s="61"/>
      <c r="H216" s="57"/>
      <c r="I216" s="59"/>
      <c r="J216" s="61"/>
      <c r="K216" s="64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74"/>
      <c r="C217" s="76"/>
      <c r="D217" s="78"/>
      <c r="E217" s="74"/>
      <c r="F217" s="76"/>
      <c r="G217" s="78"/>
      <c r="H217" s="74"/>
      <c r="I217" s="76"/>
      <c r="J217" s="78"/>
      <c r="K217" s="80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3"/>
      <c r="C218" s="83"/>
      <c r="D218" s="85"/>
      <c r="E218" s="83"/>
      <c r="F218" s="83"/>
      <c r="G218" s="85"/>
      <c r="H218" s="83"/>
      <c r="I218" s="83"/>
      <c r="J218" s="85"/>
      <c r="K218" s="85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91"/>
      <c r="C219" s="91"/>
      <c r="D219" s="89"/>
      <c r="E219" s="91"/>
      <c r="F219" s="91"/>
      <c r="G219" s="89"/>
      <c r="H219" s="91"/>
      <c r="I219" s="91"/>
      <c r="J219" s="89"/>
      <c r="K219" s="89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46"/>
      <c r="C220" s="47"/>
      <c r="D220" s="49"/>
      <c r="E220" s="46"/>
      <c r="F220" s="47"/>
      <c r="G220" s="49"/>
      <c r="H220" s="46"/>
      <c r="I220" s="47"/>
      <c r="J220" s="49"/>
      <c r="K220" s="51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57"/>
      <c r="C221" s="59"/>
      <c r="D221" s="61"/>
      <c r="E221" s="57"/>
      <c r="F221" s="59"/>
      <c r="G221" s="61"/>
      <c r="H221" s="57"/>
      <c r="I221" s="59"/>
      <c r="J221" s="61"/>
      <c r="K221" s="64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57"/>
      <c r="C222" s="59"/>
      <c r="D222" s="61"/>
      <c r="E222" s="57"/>
      <c r="F222" s="59"/>
      <c r="G222" s="61"/>
      <c r="H222" s="57"/>
      <c r="I222" s="59"/>
      <c r="J222" s="61"/>
      <c r="K222" s="64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57"/>
      <c r="C223" s="59"/>
      <c r="D223" s="61"/>
      <c r="E223" s="57"/>
      <c r="F223" s="59"/>
      <c r="G223" s="61"/>
      <c r="H223" s="57"/>
      <c r="I223" s="59"/>
      <c r="J223" s="61"/>
      <c r="K223" s="64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74"/>
      <c r="C224" s="76"/>
      <c r="D224" s="78"/>
      <c r="E224" s="74"/>
      <c r="F224" s="76"/>
      <c r="G224" s="78"/>
      <c r="H224" s="74"/>
      <c r="I224" s="76"/>
      <c r="J224" s="78"/>
      <c r="K224" s="80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3"/>
      <c r="C225" s="83"/>
      <c r="D225" s="85"/>
      <c r="E225" s="83"/>
      <c r="F225" s="83"/>
      <c r="G225" s="85"/>
      <c r="H225" s="83"/>
      <c r="I225" s="83"/>
      <c r="J225" s="85"/>
      <c r="K225" s="85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91"/>
      <c r="C226" s="91"/>
      <c r="D226" s="89"/>
      <c r="E226" s="91"/>
      <c r="F226" s="91"/>
      <c r="G226" s="89"/>
      <c r="H226" s="91"/>
      <c r="I226" s="91"/>
      <c r="J226" s="89"/>
      <c r="K226" s="89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46"/>
      <c r="C227" s="47"/>
      <c r="D227" s="49"/>
      <c r="E227" s="46"/>
      <c r="F227" s="47"/>
      <c r="G227" s="49"/>
      <c r="H227" s="46"/>
      <c r="I227" s="47"/>
      <c r="J227" s="49"/>
      <c r="K227" s="51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57"/>
      <c r="C228" s="59"/>
      <c r="D228" s="61"/>
      <c r="E228" s="57"/>
      <c r="F228" s="59"/>
      <c r="G228" s="61"/>
      <c r="H228" s="57"/>
      <c r="I228" s="59"/>
      <c r="J228" s="61"/>
      <c r="K228" s="64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57"/>
      <c r="C229" s="59"/>
      <c r="D229" s="61"/>
      <c r="E229" s="57"/>
      <c r="F229" s="59"/>
      <c r="G229" s="61"/>
      <c r="H229" s="57"/>
      <c r="I229" s="59"/>
      <c r="J229" s="61"/>
      <c r="K229" s="64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57"/>
      <c r="C230" s="59"/>
      <c r="D230" s="61"/>
      <c r="E230" s="57"/>
      <c r="F230" s="59"/>
      <c r="G230" s="61"/>
      <c r="H230" s="57"/>
      <c r="I230" s="59"/>
      <c r="J230" s="61"/>
      <c r="K230" s="64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74"/>
      <c r="C231" s="76"/>
      <c r="D231" s="78"/>
      <c r="E231" s="74"/>
      <c r="F231" s="76"/>
      <c r="G231" s="78"/>
      <c r="H231" s="74"/>
      <c r="I231" s="76"/>
      <c r="J231" s="78"/>
      <c r="K231" s="80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3"/>
      <c r="C232" s="83"/>
      <c r="D232" s="85"/>
      <c r="E232" s="83"/>
      <c r="F232" s="83"/>
      <c r="G232" s="85"/>
      <c r="H232" s="83"/>
      <c r="I232" s="83"/>
      <c r="J232" s="85"/>
      <c r="K232" s="85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91"/>
      <c r="C233" s="91"/>
      <c r="D233" s="89"/>
      <c r="E233" s="91"/>
      <c r="F233" s="91"/>
      <c r="G233" s="89"/>
      <c r="H233" s="91"/>
      <c r="I233" s="91"/>
      <c r="J233" s="89"/>
      <c r="K233" s="89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46"/>
      <c r="C234" s="47"/>
      <c r="D234" s="49"/>
      <c r="E234" s="46"/>
      <c r="F234" s="47"/>
      <c r="G234" s="49"/>
      <c r="H234" s="46"/>
      <c r="I234" s="47"/>
      <c r="J234" s="49"/>
      <c r="K234" s="51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57"/>
      <c r="C235" s="59"/>
      <c r="D235" s="61"/>
      <c r="E235" s="57"/>
      <c r="F235" s="59"/>
      <c r="G235" s="61"/>
      <c r="H235" s="57"/>
      <c r="I235" s="59"/>
      <c r="J235" s="61"/>
      <c r="K235" s="64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57"/>
      <c r="C236" s="59"/>
      <c r="D236" s="61"/>
      <c r="E236" s="57"/>
      <c r="F236" s="59"/>
      <c r="G236" s="61"/>
      <c r="H236" s="57"/>
      <c r="I236" s="59"/>
      <c r="J236" s="61"/>
      <c r="K236" s="64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57"/>
      <c r="C237" s="59"/>
      <c r="D237" s="61"/>
      <c r="E237" s="57"/>
      <c r="F237" s="59"/>
      <c r="G237" s="61"/>
      <c r="H237" s="57"/>
      <c r="I237" s="59"/>
      <c r="J237" s="61"/>
      <c r="K237" s="64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74"/>
      <c r="C238" s="76"/>
      <c r="D238" s="78"/>
      <c r="E238" s="74"/>
      <c r="F238" s="76"/>
      <c r="G238" s="78"/>
      <c r="H238" s="74"/>
      <c r="I238" s="76"/>
      <c r="J238" s="78"/>
      <c r="K238" s="80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3"/>
      <c r="C239" s="83"/>
      <c r="D239" s="85"/>
      <c r="E239" s="83"/>
      <c r="F239" s="83"/>
      <c r="G239" s="85"/>
      <c r="H239" s="83"/>
      <c r="I239" s="83"/>
      <c r="J239" s="85"/>
      <c r="K239" s="85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91"/>
      <c r="C240" s="91"/>
      <c r="D240" s="89"/>
      <c r="E240" s="91"/>
      <c r="F240" s="91"/>
      <c r="G240" s="89"/>
      <c r="H240" s="91"/>
      <c r="I240" s="91"/>
      <c r="J240" s="89"/>
      <c r="K240" s="89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46"/>
      <c r="C241" s="47"/>
      <c r="D241" s="49"/>
      <c r="E241" s="46"/>
      <c r="F241" s="47"/>
      <c r="G241" s="49"/>
      <c r="H241" s="46"/>
      <c r="I241" s="47"/>
      <c r="J241" s="49"/>
      <c r="K241" s="51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57"/>
      <c r="C242" s="59"/>
      <c r="D242" s="61"/>
      <c r="E242" s="57"/>
      <c r="F242" s="59"/>
      <c r="G242" s="61"/>
      <c r="H242" s="57"/>
      <c r="I242" s="59"/>
      <c r="J242" s="61"/>
      <c r="K242" s="64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57"/>
      <c r="C243" s="59"/>
      <c r="D243" s="61"/>
      <c r="E243" s="57"/>
      <c r="F243" s="59"/>
      <c r="G243" s="61"/>
      <c r="H243" s="57"/>
      <c r="I243" s="59"/>
      <c r="J243" s="61"/>
      <c r="K243" s="64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57"/>
      <c r="C244" s="59"/>
      <c r="D244" s="61"/>
      <c r="E244" s="57"/>
      <c r="F244" s="59"/>
      <c r="G244" s="61"/>
      <c r="H244" s="57"/>
      <c r="I244" s="59"/>
      <c r="J244" s="61"/>
      <c r="K244" s="64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74"/>
      <c r="C245" s="76"/>
      <c r="D245" s="78"/>
      <c r="E245" s="74"/>
      <c r="F245" s="76"/>
      <c r="G245" s="78"/>
      <c r="H245" s="74"/>
      <c r="I245" s="76"/>
      <c r="J245" s="78"/>
      <c r="K245" s="80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3"/>
      <c r="C246" s="83"/>
      <c r="D246" s="85"/>
      <c r="E246" s="83"/>
      <c r="F246" s="83"/>
      <c r="G246" s="85"/>
      <c r="H246" s="83"/>
      <c r="I246" s="83"/>
      <c r="J246" s="85"/>
      <c r="K246" s="85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91"/>
      <c r="C247" s="91"/>
      <c r="D247" s="89"/>
      <c r="E247" s="91"/>
      <c r="F247" s="91"/>
      <c r="G247" s="89"/>
      <c r="H247" s="91"/>
      <c r="I247" s="91"/>
      <c r="J247" s="89"/>
      <c r="K247" s="89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46"/>
      <c r="C248" s="47"/>
      <c r="D248" s="49"/>
      <c r="E248" s="46"/>
      <c r="F248" s="47"/>
      <c r="G248" s="49"/>
      <c r="H248" s="46"/>
      <c r="I248" s="47"/>
      <c r="J248" s="49"/>
      <c r="K248" s="51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57"/>
      <c r="C249" s="59"/>
      <c r="D249" s="61"/>
      <c r="E249" s="57"/>
      <c r="F249" s="59"/>
      <c r="G249" s="61"/>
      <c r="H249" s="57"/>
      <c r="I249" s="59"/>
      <c r="J249" s="61"/>
      <c r="K249" s="64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57"/>
      <c r="C250" s="59"/>
      <c r="D250" s="61"/>
      <c r="E250" s="57"/>
      <c r="F250" s="59"/>
      <c r="G250" s="61"/>
      <c r="H250" s="57"/>
      <c r="I250" s="59"/>
      <c r="J250" s="61"/>
      <c r="K250" s="64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57"/>
      <c r="C251" s="59"/>
      <c r="D251" s="61"/>
      <c r="E251" s="57"/>
      <c r="F251" s="59"/>
      <c r="G251" s="61"/>
      <c r="H251" s="57"/>
      <c r="I251" s="59"/>
      <c r="J251" s="61"/>
      <c r="K251" s="64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74"/>
      <c r="C252" s="76"/>
      <c r="D252" s="78"/>
      <c r="E252" s="74"/>
      <c r="F252" s="76"/>
      <c r="G252" s="78"/>
      <c r="H252" s="74"/>
      <c r="I252" s="76"/>
      <c r="J252" s="78"/>
      <c r="K252" s="80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3"/>
      <c r="C253" s="83"/>
      <c r="D253" s="85"/>
      <c r="E253" s="83"/>
      <c r="F253" s="83"/>
      <c r="G253" s="85"/>
      <c r="H253" s="83"/>
      <c r="I253" s="83"/>
      <c r="J253" s="85"/>
      <c r="K253" s="85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91"/>
      <c r="C254" s="91"/>
      <c r="D254" s="89"/>
      <c r="E254" s="91"/>
      <c r="F254" s="91"/>
      <c r="G254" s="89"/>
      <c r="H254" s="91"/>
      <c r="I254" s="91"/>
      <c r="J254" s="89"/>
      <c r="K254" s="89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46"/>
      <c r="C255" s="47"/>
      <c r="D255" s="49"/>
      <c r="E255" s="46"/>
      <c r="F255" s="47"/>
      <c r="G255" s="49"/>
      <c r="H255" s="46"/>
      <c r="I255" s="47"/>
      <c r="J255" s="49"/>
      <c r="K255" s="51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57"/>
      <c r="C256" s="59"/>
      <c r="D256" s="61"/>
      <c r="E256" s="57"/>
      <c r="F256" s="59"/>
      <c r="G256" s="61"/>
      <c r="H256" s="57"/>
      <c r="I256" s="59"/>
      <c r="J256" s="61"/>
      <c r="K256" s="64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57"/>
      <c r="C257" s="59"/>
      <c r="D257" s="61"/>
      <c r="E257" s="57"/>
      <c r="F257" s="59"/>
      <c r="G257" s="61"/>
      <c r="H257" s="57"/>
      <c r="I257" s="59"/>
      <c r="J257" s="61"/>
      <c r="K257" s="64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57"/>
      <c r="C258" s="59"/>
      <c r="D258" s="61"/>
      <c r="E258" s="57"/>
      <c r="F258" s="59"/>
      <c r="G258" s="61"/>
      <c r="H258" s="57"/>
      <c r="I258" s="59"/>
      <c r="J258" s="61"/>
      <c r="K258" s="64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74"/>
      <c r="C259" s="76"/>
      <c r="D259" s="78"/>
      <c r="E259" s="74"/>
      <c r="F259" s="76"/>
      <c r="G259" s="78"/>
      <c r="H259" s="74"/>
      <c r="I259" s="76"/>
      <c r="J259" s="78"/>
      <c r="K259" s="80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3"/>
      <c r="C260" s="83"/>
      <c r="D260" s="85"/>
      <c r="E260" s="83"/>
      <c r="F260" s="83"/>
      <c r="G260" s="85"/>
      <c r="H260" s="83"/>
      <c r="I260" s="83"/>
      <c r="J260" s="85"/>
      <c r="K260" s="85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91"/>
      <c r="C261" s="91"/>
      <c r="D261" s="89"/>
      <c r="E261" s="91"/>
      <c r="F261" s="91"/>
      <c r="G261" s="89"/>
      <c r="H261" s="91"/>
      <c r="I261" s="91"/>
      <c r="J261" s="89"/>
      <c r="K261" s="89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46"/>
      <c r="C262" s="47"/>
      <c r="D262" s="49"/>
      <c r="E262" s="46"/>
      <c r="F262" s="47"/>
      <c r="G262" s="49"/>
      <c r="H262" s="46"/>
      <c r="I262" s="47"/>
      <c r="J262" s="49"/>
      <c r="K262" s="51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57"/>
      <c r="C263" s="59"/>
      <c r="D263" s="61"/>
      <c r="E263" s="57"/>
      <c r="F263" s="59"/>
      <c r="G263" s="61"/>
      <c r="H263" s="57"/>
      <c r="I263" s="59"/>
      <c r="J263" s="61"/>
      <c r="K263" s="64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57"/>
      <c r="C264" s="59"/>
      <c r="D264" s="61"/>
      <c r="E264" s="57"/>
      <c r="F264" s="59"/>
      <c r="G264" s="61"/>
      <c r="H264" s="57"/>
      <c r="I264" s="59"/>
      <c r="J264" s="61"/>
      <c r="K264" s="64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57"/>
      <c r="C265" s="59"/>
      <c r="D265" s="61"/>
      <c r="E265" s="57"/>
      <c r="F265" s="59"/>
      <c r="G265" s="61"/>
      <c r="H265" s="57"/>
      <c r="I265" s="59"/>
      <c r="J265" s="61"/>
      <c r="K265" s="64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74"/>
      <c r="C266" s="76"/>
      <c r="D266" s="78"/>
      <c r="E266" s="74"/>
      <c r="F266" s="76"/>
      <c r="G266" s="78"/>
      <c r="H266" s="74"/>
      <c r="I266" s="76"/>
      <c r="J266" s="78"/>
      <c r="K266" s="80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3"/>
      <c r="C267" s="83"/>
      <c r="D267" s="85"/>
      <c r="E267" s="83"/>
      <c r="F267" s="83"/>
      <c r="G267" s="85"/>
      <c r="H267" s="83"/>
      <c r="I267" s="83"/>
      <c r="J267" s="85"/>
      <c r="K267" s="85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91"/>
      <c r="C268" s="91"/>
      <c r="D268" s="89"/>
      <c r="E268" s="91"/>
      <c r="F268" s="91"/>
      <c r="G268" s="89"/>
      <c r="H268" s="91"/>
      <c r="I268" s="91"/>
      <c r="J268" s="89"/>
      <c r="K268" s="89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46"/>
      <c r="C269" s="47"/>
      <c r="D269" s="49"/>
      <c r="E269" s="46"/>
      <c r="F269" s="47"/>
      <c r="G269" s="49"/>
      <c r="H269" s="46"/>
      <c r="I269" s="47"/>
      <c r="J269" s="49"/>
      <c r="K269" s="51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57"/>
      <c r="C270" s="59"/>
      <c r="D270" s="61"/>
      <c r="E270" s="57"/>
      <c r="F270" s="59"/>
      <c r="G270" s="61"/>
      <c r="H270" s="57"/>
      <c r="I270" s="59"/>
      <c r="J270" s="61"/>
      <c r="K270" s="64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57"/>
      <c r="C271" s="59"/>
      <c r="D271" s="61"/>
      <c r="E271" s="57"/>
      <c r="F271" s="59"/>
      <c r="G271" s="61"/>
      <c r="H271" s="57"/>
      <c r="I271" s="59"/>
      <c r="J271" s="61"/>
      <c r="K271" s="64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57"/>
      <c r="C272" s="59"/>
      <c r="D272" s="61"/>
      <c r="E272" s="57"/>
      <c r="F272" s="59"/>
      <c r="G272" s="61"/>
      <c r="H272" s="57"/>
      <c r="I272" s="59"/>
      <c r="J272" s="61"/>
      <c r="K272" s="64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74"/>
      <c r="C273" s="76"/>
      <c r="D273" s="78"/>
      <c r="E273" s="74"/>
      <c r="F273" s="76"/>
      <c r="G273" s="78"/>
      <c r="H273" s="74"/>
      <c r="I273" s="76"/>
      <c r="J273" s="78"/>
      <c r="K273" s="80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3"/>
      <c r="C274" s="83"/>
      <c r="D274" s="85"/>
      <c r="E274" s="83"/>
      <c r="F274" s="83"/>
      <c r="G274" s="85"/>
      <c r="H274" s="83"/>
      <c r="I274" s="83"/>
      <c r="J274" s="85"/>
      <c r="K274" s="85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91"/>
      <c r="C275" s="91"/>
      <c r="D275" s="89"/>
      <c r="E275" s="91"/>
      <c r="F275" s="91"/>
      <c r="G275" s="89"/>
      <c r="H275" s="91"/>
      <c r="I275" s="91"/>
      <c r="J275" s="89"/>
      <c r="K275" s="89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46"/>
      <c r="C276" s="47"/>
      <c r="D276" s="49"/>
      <c r="E276" s="46"/>
      <c r="F276" s="47"/>
      <c r="G276" s="49"/>
      <c r="H276" s="46"/>
      <c r="I276" s="47"/>
      <c r="J276" s="49"/>
      <c r="K276" s="51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57"/>
      <c r="C277" s="59"/>
      <c r="D277" s="61"/>
      <c r="E277" s="57"/>
      <c r="F277" s="59"/>
      <c r="G277" s="61"/>
      <c r="H277" s="57"/>
      <c r="I277" s="59"/>
      <c r="J277" s="61"/>
      <c r="K277" s="64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57"/>
      <c r="C278" s="59"/>
      <c r="D278" s="61"/>
      <c r="E278" s="57"/>
      <c r="F278" s="59"/>
      <c r="G278" s="61"/>
      <c r="H278" s="57"/>
      <c r="I278" s="59"/>
      <c r="J278" s="61"/>
      <c r="K278" s="64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57"/>
      <c r="C279" s="59"/>
      <c r="D279" s="61"/>
      <c r="E279" s="57"/>
      <c r="F279" s="59"/>
      <c r="G279" s="61"/>
      <c r="H279" s="57"/>
      <c r="I279" s="59"/>
      <c r="J279" s="61"/>
      <c r="K279" s="64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74"/>
      <c r="C280" s="76"/>
      <c r="D280" s="78"/>
      <c r="E280" s="74"/>
      <c r="F280" s="76"/>
      <c r="G280" s="78"/>
      <c r="H280" s="74"/>
      <c r="I280" s="76"/>
      <c r="J280" s="78"/>
      <c r="K280" s="80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3"/>
      <c r="C281" s="83"/>
      <c r="D281" s="85"/>
      <c r="E281" s="83"/>
      <c r="F281" s="83"/>
      <c r="G281" s="85"/>
      <c r="H281" s="83"/>
      <c r="I281" s="83"/>
      <c r="J281" s="85"/>
      <c r="K281" s="85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91"/>
      <c r="C282" s="91"/>
      <c r="D282" s="89"/>
      <c r="E282" s="91"/>
      <c r="F282" s="91"/>
      <c r="G282" s="89"/>
      <c r="H282" s="91"/>
      <c r="I282" s="91"/>
      <c r="J282" s="89"/>
      <c r="K282" s="89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46"/>
      <c r="C283" s="47"/>
      <c r="D283" s="49"/>
      <c r="E283" s="46"/>
      <c r="F283" s="47"/>
      <c r="G283" s="49"/>
      <c r="H283" s="46"/>
      <c r="I283" s="47"/>
      <c r="J283" s="49"/>
      <c r="K283" s="51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57"/>
      <c r="C284" s="59"/>
      <c r="D284" s="61"/>
      <c r="E284" s="57"/>
      <c r="F284" s="59"/>
      <c r="G284" s="61"/>
      <c r="H284" s="57"/>
      <c r="I284" s="59"/>
      <c r="J284" s="61"/>
      <c r="K284" s="64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57"/>
      <c r="C285" s="59"/>
      <c r="D285" s="61"/>
      <c r="E285" s="57"/>
      <c r="F285" s="59"/>
      <c r="G285" s="61"/>
      <c r="H285" s="57"/>
      <c r="I285" s="59"/>
      <c r="J285" s="61"/>
      <c r="K285" s="64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57"/>
      <c r="C286" s="59"/>
      <c r="D286" s="61"/>
      <c r="E286" s="57"/>
      <c r="F286" s="59"/>
      <c r="G286" s="61"/>
      <c r="H286" s="57"/>
      <c r="I286" s="59"/>
      <c r="J286" s="61"/>
      <c r="K286" s="64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74"/>
      <c r="C287" s="76"/>
      <c r="D287" s="78"/>
      <c r="E287" s="74"/>
      <c r="F287" s="76"/>
      <c r="G287" s="78"/>
      <c r="H287" s="74"/>
      <c r="I287" s="76"/>
      <c r="J287" s="78"/>
      <c r="K287" s="80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3"/>
      <c r="C288" s="83"/>
      <c r="D288" s="85"/>
      <c r="E288" s="83"/>
      <c r="F288" s="83"/>
      <c r="G288" s="85"/>
      <c r="H288" s="83"/>
      <c r="I288" s="83"/>
      <c r="J288" s="85"/>
      <c r="K288" s="85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91"/>
      <c r="C289" s="91"/>
      <c r="D289" s="89"/>
      <c r="E289" s="91"/>
      <c r="F289" s="91"/>
      <c r="G289" s="89"/>
      <c r="H289" s="91"/>
      <c r="I289" s="91"/>
      <c r="J289" s="89"/>
      <c r="K289" s="89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46"/>
      <c r="C290" s="47"/>
      <c r="D290" s="49"/>
      <c r="E290" s="46"/>
      <c r="F290" s="47"/>
      <c r="G290" s="49"/>
      <c r="H290" s="46"/>
      <c r="I290" s="47"/>
      <c r="J290" s="49"/>
      <c r="K290" s="51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57"/>
      <c r="C291" s="59"/>
      <c r="D291" s="61"/>
      <c r="E291" s="57"/>
      <c r="F291" s="59"/>
      <c r="G291" s="61"/>
      <c r="H291" s="57"/>
      <c r="I291" s="59"/>
      <c r="J291" s="61"/>
      <c r="K291" s="64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57"/>
      <c r="C292" s="59"/>
      <c r="D292" s="61"/>
      <c r="E292" s="57"/>
      <c r="F292" s="59"/>
      <c r="G292" s="61"/>
      <c r="H292" s="57"/>
      <c r="I292" s="59"/>
      <c r="J292" s="61"/>
      <c r="K292" s="64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57"/>
      <c r="C293" s="59"/>
      <c r="D293" s="61"/>
      <c r="E293" s="57"/>
      <c r="F293" s="59"/>
      <c r="G293" s="61"/>
      <c r="H293" s="57"/>
      <c r="I293" s="59"/>
      <c r="J293" s="61"/>
      <c r="K293" s="64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74"/>
      <c r="C294" s="76"/>
      <c r="D294" s="78"/>
      <c r="E294" s="74"/>
      <c r="F294" s="76"/>
      <c r="G294" s="78"/>
      <c r="H294" s="74"/>
      <c r="I294" s="76"/>
      <c r="J294" s="78"/>
      <c r="K294" s="80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3"/>
      <c r="C295" s="83"/>
      <c r="D295" s="85"/>
      <c r="E295" s="83"/>
      <c r="F295" s="83"/>
      <c r="G295" s="85"/>
      <c r="H295" s="83"/>
      <c r="I295" s="83"/>
      <c r="J295" s="85"/>
      <c r="K295" s="85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91"/>
      <c r="C296" s="91"/>
      <c r="D296" s="89"/>
      <c r="E296" s="91"/>
      <c r="F296" s="91"/>
      <c r="G296" s="89"/>
      <c r="H296" s="91"/>
      <c r="I296" s="91"/>
      <c r="J296" s="89"/>
      <c r="K296" s="89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46"/>
      <c r="C297" s="47"/>
      <c r="D297" s="49"/>
      <c r="E297" s="46"/>
      <c r="F297" s="47"/>
      <c r="G297" s="49"/>
      <c r="H297" s="46"/>
      <c r="I297" s="47"/>
      <c r="J297" s="49"/>
      <c r="K297" s="51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57"/>
      <c r="C298" s="59"/>
      <c r="D298" s="61"/>
      <c r="E298" s="57"/>
      <c r="F298" s="59"/>
      <c r="G298" s="61"/>
      <c r="H298" s="57"/>
      <c r="I298" s="59"/>
      <c r="J298" s="61"/>
      <c r="K298" s="64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57"/>
      <c r="C299" s="59"/>
      <c r="D299" s="61"/>
      <c r="E299" s="57"/>
      <c r="F299" s="59"/>
      <c r="G299" s="61"/>
      <c r="H299" s="57"/>
      <c r="I299" s="59"/>
      <c r="J299" s="61"/>
      <c r="K299" s="64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57"/>
      <c r="C300" s="59"/>
      <c r="D300" s="61"/>
      <c r="E300" s="57"/>
      <c r="F300" s="59"/>
      <c r="G300" s="61"/>
      <c r="H300" s="57"/>
      <c r="I300" s="59"/>
      <c r="J300" s="61"/>
      <c r="K300" s="64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74"/>
      <c r="C301" s="76"/>
      <c r="D301" s="78"/>
      <c r="E301" s="74"/>
      <c r="F301" s="76"/>
      <c r="G301" s="78"/>
      <c r="H301" s="74"/>
      <c r="I301" s="76"/>
      <c r="J301" s="78"/>
      <c r="K301" s="80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3"/>
      <c r="C302" s="83"/>
      <c r="D302" s="85"/>
      <c r="E302" s="83"/>
      <c r="F302" s="83"/>
      <c r="G302" s="85"/>
      <c r="H302" s="83"/>
      <c r="I302" s="83"/>
      <c r="J302" s="85"/>
      <c r="K302" s="85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91"/>
      <c r="C303" s="91"/>
      <c r="D303" s="89"/>
      <c r="E303" s="91"/>
      <c r="F303" s="91"/>
      <c r="G303" s="89"/>
      <c r="H303" s="91"/>
      <c r="I303" s="91"/>
      <c r="J303" s="89"/>
      <c r="K303" s="89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13.1941088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46" t="s">
        <v>21</v>
      </c>
      <c r="C2" s="47" t="s">
        <v>26</v>
      </c>
      <c r="D2" s="49" t="s">
        <v>27</v>
      </c>
      <c r="E2" s="46" t="s">
        <v>28</v>
      </c>
      <c r="F2" s="47" t="s">
        <v>30</v>
      </c>
      <c r="G2" s="49" t="s">
        <v>31</v>
      </c>
      <c r="H2" s="46" t="s">
        <v>32</v>
      </c>
      <c r="I2" s="47" t="s">
        <v>33</v>
      </c>
      <c r="J2" s="49" t="s">
        <v>34</v>
      </c>
      <c r="K2" s="125" t="s">
        <v>35</v>
      </c>
      <c r="L2" s="36" t="s">
        <v>36</v>
      </c>
      <c r="M2" s="39"/>
      <c r="N2" s="42" t="s">
        <v>37</v>
      </c>
      <c r="O2" s="38"/>
      <c r="P2" s="126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46" t="s">
        <v>280</v>
      </c>
      <c r="C3" s="47" t="s">
        <v>281</v>
      </c>
      <c r="D3" s="49">
        <f t="shared" ref="D3:D7" si="1">C3-B3</f>
        <v>0.2305555556</v>
      </c>
      <c r="E3" s="46"/>
      <c r="F3" s="47"/>
      <c r="G3" s="49"/>
      <c r="H3" s="46"/>
      <c r="I3" s="47"/>
      <c r="J3" s="49"/>
      <c r="K3" s="51">
        <f t="shared" ref="K3:K7" si="2">D3+G3+J3</f>
        <v>0.2305555556</v>
      </c>
      <c r="L3" s="108"/>
      <c r="M3" s="39"/>
      <c r="N3" s="39"/>
      <c r="O3" s="39"/>
      <c r="P3" s="127">
        <v>9.063344907407407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57" t="s">
        <v>282</v>
      </c>
      <c r="C4" s="59" t="s">
        <v>283</v>
      </c>
      <c r="D4" s="61">
        <f t="shared" si="1"/>
        <v>0.2118055556</v>
      </c>
      <c r="E4" s="57"/>
      <c r="F4" s="59"/>
      <c r="G4" s="61"/>
      <c r="H4" s="57"/>
      <c r="I4" s="59"/>
      <c r="J4" s="61"/>
      <c r="K4" s="64">
        <f t="shared" si="2"/>
        <v>0.2118055556</v>
      </c>
      <c r="L4" s="66">
        <v>0.003472222222222222</v>
      </c>
      <c r="M4" s="44"/>
      <c r="N4" s="44"/>
      <c r="O4" s="44"/>
      <c r="P4" s="67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57" t="s">
        <v>284</v>
      </c>
      <c r="C5" s="59" t="s">
        <v>283</v>
      </c>
      <c r="D5" s="61">
        <f t="shared" si="1"/>
        <v>0.2097222222</v>
      </c>
      <c r="E5" s="57"/>
      <c r="F5" s="59"/>
      <c r="G5" s="61"/>
      <c r="H5" s="57"/>
      <c r="I5" s="59"/>
      <c r="J5" s="61"/>
      <c r="K5" s="64">
        <f t="shared" si="2"/>
        <v>0.2097222222</v>
      </c>
      <c r="L5" s="66">
        <v>0.001388888888888889</v>
      </c>
      <c r="M5" s="44"/>
      <c r="N5" s="44"/>
      <c r="O5" s="44"/>
      <c r="P5" s="67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57" t="s">
        <v>284</v>
      </c>
      <c r="C6" s="59" t="s">
        <v>285</v>
      </c>
      <c r="D6" s="61">
        <f t="shared" si="1"/>
        <v>0.2111111111</v>
      </c>
      <c r="E6" s="57"/>
      <c r="F6" s="59"/>
      <c r="G6" s="61"/>
      <c r="H6" s="57"/>
      <c r="I6" s="59"/>
      <c r="J6" s="61"/>
      <c r="K6" s="64">
        <f t="shared" si="2"/>
        <v>0.2111111111</v>
      </c>
      <c r="L6" s="66">
        <v>0.002777777777777778</v>
      </c>
      <c r="M6" s="44"/>
      <c r="N6" s="44"/>
      <c r="O6" s="44"/>
      <c r="P6" s="67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74" t="s">
        <v>286</v>
      </c>
      <c r="C7" s="76" t="s">
        <v>287</v>
      </c>
      <c r="D7" s="78">
        <f t="shared" si="1"/>
        <v>0.2166666667</v>
      </c>
      <c r="E7" s="74"/>
      <c r="F7" s="76"/>
      <c r="G7" s="78"/>
      <c r="H7" s="74"/>
      <c r="I7" s="76"/>
      <c r="J7" s="78"/>
      <c r="K7" s="80">
        <f t="shared" si="2"/>
        <v>0.2166666667</v>
      </c>
      <c r="L7" s="82">
        <v>0.008333333333333333</v>
      </c>
      <c r="M7" s="44"/>
      <c r="N7" s="44"/>
      <c r="O7" s="44"/>
      <c r="P7" s="67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3"/>
      <c r="C8" s="83"/>
      <c r="D8" s="85"/>
      <c r="E8" s="83"/>
      <c r="F8" s="83"/>
      <c r="G8" s="85"/>
      <c r="H8" s="83"/>
      <c r="I8" s="83"/>
      <c r="J8" s="85"/>
      <c r="K8" s="85"/>
      <c r="L8" s="88"/>
      <c r="M8" s="44"/>
      <c r="N8" s="44"/>
      <c r="O8" s="44"/>
      <c r="P8" s="67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91"/>
      <c r="C9" s="91"/>
      <c r="D9" s="89"/>
      <c r="E9" s="91"/>
      <c r="F9" s="91"/>
      <c r="G9" s="89"/>
      <c r="H9" s="91"/>
      <c r="I9" s="91"/>
      <c r="J9" s="89"/>
      <c r="K9" s="89"/>
      <c r="L9" s="93"/>
      <c r="M9" s="94"/>
      <c r="N9" s="94"/>
      <c r="O9" s="94"/>
      <c r="P9" s="128">
        <f>SUMPRODUCT(VALUE(K3:K7))-(SUM(L3:L7))</f>
        <v>1.063888889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46" t="s">
        <v>288</v>
      </c>
      <c r="C10" s="47" t="s">
        <v>289</v>
      </c>
      <c r="D10" s="49" t="s">
        <v>290</v>
      </c>
      <c r="E10" s="46"/>
      <c r="F10" s="47"/>
      <c r="G10" s="49"/>
      <c r="H10" s="46"/>
      <c r="I10" s="47"/>
      <c r="J10" s="49"/>
      <c r="K10" s="51" t="s">
        <v>290</v>
      </c>
      <c r="L10" s="53">
        <v>0.00662037037037037</v>
      </c>
      <c r="M10" s="39"/>
      <c r="N10" s="39" t="s">
        <v>291</v>
      </c>
      <c r="O10" s="38"/>
      <c r="P10" s="129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57" t="s">
        <v>292</v>
      </c>
      <c r="C11" s="59" t="s">
        <v>293</v>
      </c>
      <c r="D11" s="61" t="s">
        <v>294</v>
      </c>
      <c r="E11" s="57"/>
      <c r="F11" s="59"/>
      <c r="G11" s="61"/>
      <c r="H11" s="57"/>
      <c r="I11" s="59"/>
      <c r="J11" s="61"/>
      <c r="K11" s="64" t="s">
        <v>294</v>
      </c>
      <c r="L11" s="66">
        <v>0.005567129629629629</v>
      </c>
      <c r="M11" s="44"/>
      <c r="N11" s="44" t="s">
        <v>291</v>
      </c>
      <c r="O11" s="44"/>
      <c r="P11" s="13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57" t="s">
        <v>295</v>
      </c>
      <c r="C12" s="59" t="s">
        <v>296</v>
      </c>
      <c r="D12" s="61" t="s">
        <v>297</v>
      </c>
      <c r="E12" s="57"/>
      <c r="F12" s="59"/>
      <c r="G12" s="61"/>
      <c r="H12" s="57"/>
      <c r="I12" s="59"/>
      <c r="J12" s="61"/>
      <c r="K12" s="64" t="s">
        <v>297</v>
      </c>
      <c r="L12" s="66">
        <v>0.004444444444444444</v>
      </c>
      <c r="M12" s="44"/>
      <c r="N12" s="44" t="s">
        <v>291</v>
      </c>
      <c r="O12" s="44"/>
      <c r="P12" s="13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57" t="s">
        <v>298</v>
      </c>
      <c r="C13" s="59" t="s">
        <v>299</v>
      </c>
      <c r="D13" s="61" t="s">
        <v>300</v>
      </c>
      <c r="E13" s="57"/>
      <c r="F13" s="59"/>
      <c r="G13" s="61"/>
      <c r="H13" s="57"/>
      <c r="I13" s="59"/>
      <c r="J13" s="61"/>
      <c r="K13" s="64" t="s">
        <v>300</v>
      </c>
      <c r="L13" s="66">
        <v>0.01180555555555556</v>
      </c>
      <c r="M13" s="44"/>
      <c r="N13" s="44" t="s">
        <v>291</v>
      </c>
      <c r="O13" s="44"/>
      <c r="P13" s="13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74" t="s">
        <v>301</v>
      </c>
      <c r="C14" s="76" t="s">
        <v>302</v>
      </c>
      <c r="D14" s="78" t="s">
        <v>303</v>
      </c>
      <c r="E14" s="74"/>
      <c r="F14" s="76"/>
      <c r="G14" s="78"/>
      <c r="H14" s="74"/>
      <c r="I14" s="76"/>
      <c r="J14" s="78"/>
      <c r="K14" s="80" t="s">
        <v>303</v>
      </c>
      <c r="L14" s="88"/>
      <c r="M14" s="44"/>
      <c r="N14" s="44"/>
      <c r="O14" s="44"/>
      <c r="P14" s="13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3"/>
      <c r="C15" s="83"/>
      <c r="D15" s="85"/>
      <c r="E15" s="83"/>
      <c r="F15" s="83"/>
      <c r="G15" s="85"/>
      <c r="H15" s="83"/>
      <c r="I15" s="83"/>
      <c r="J15" s="85"/>
      <c r="K15" s="85"/>
      <c r="L15" s="88"/>
      <c r="M15" s="44"/>
      <c r="N15" s="44"/>
      <c r="O15" s="44"/>
      <c r="P15" s="13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91"/>
      <c r="C16" s="91"/>
      <c r="D16" s="89"/>
      <c r="E16" s="91"/>
      <c r="F16" s="91"/>
      <c r="G16" s="89"/>
      <c r="H16" s="91"/>
      <c r="I16" s="91"/>
      <c r="J16" s="89"/>
      <c r="K16" s="89"/>
      <c r="L16" s="93"/>
      <c r="M16" s="94"/>
      <c r="N16" s="94"/>
      <c r="O16" s="92"/>
      <c r="P16" s="131">
        <f>SUMPRODUCT(VALUE(K10:K14))-(SUM(L10:L14))</f>
        <v>0.9957638889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46" t="s">
        <v>304</v>
      </c>
      <c r="C17" s="47" t="s">
        <v>305</v>
      </c>
      <c r="D17" s="49" t="s">
        <v>306</v>
      </c>
      <c r="E17" s="46"/>
      <c r="F17" s="47"/>
      <c r="G17" s="49"/>
      <c r="H17" s="46"/>
      <c r="I17" s="47"/>
      <c r="J17" s="49"/>
      <c r="K17" s="51" t="s">
        <v>306</v>
      </c>
      <c r="L17" s="108"/>
      <c r="M17" s="39"/>
      <c r="N17" s="39" t="s">
        <v>291</v>
      </c>
      <c r="O17" s="38"/>
      <c r="P17" s="129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57" t="s">
        <v>307</v>
      </c>
      <c r="C18" s="59" t="s">
        <v>308</v>
      </c>
      <c r="D18" s="61" t="s">
        <v>309</v>
      </c>
      <c r="E18" s="57"/>
      <c r="F18" s="59"/>
      <c r="G18" s="61"/>
      <c r="H18" s="57"/>
      <c r="I18" s="59"/>
      <c r="J18" s="61"/>
      <c r="K18" s="64" t="s">
        <v>309</v>
      </c>
      <c r="L18" s="68"/>
      <c r="M18" s="44"/>
      <c r="N18" s="44" t="s">
        <v>310</v>
      </c>
      <c r="O18" s="44"/>
      <c r="P18" s="13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57" t="s">
        <v>311</v>
      </c>
      <c r="C19" s="59" t="s">
        <v>312</v>
      </c>
      <c r="D19" s="61" t="s">
        <v>313</v>
      </c>
      <c r="E19" s="57"/>
      <c r="F19" s="59"/>
      <c r="G19" s="61"/>
      <c r="H19" s="57"/>
      <c r="I19" s="59"/>
      <c r="J19" s="61"/>
      <c r="K19" s="64" t="s">
        <v>313</v>
      </c>
      <c r="L19" s="66">
        <v>0.007638888888888889</v>
      </c>
      <c r="M19" s="44"/>
      <c r="N19" s="44" t="s">
        <v>291</v>
      </c>
      <c r="O19" s="44"/>
      <c r="P19" s="13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57" t="s">
        <v>314</v>
      </c>
      <c r="C20" s="59" t="s">
        <v>315</v>
      </c>
      <c r="D20" s="61" t="s">
        <v>316</v>
      </c>
      <c r="E20" s="57"/>
      <c r="F20" s="59"/>
      <c r="G20" s="61"/>
      <c r="H20" s="57"/>
      <c r="I20" s="59"/>
      <c r="J20" s="61"/>
      <c r="K20" s="64" t="s">
        <v>316</v>
      </c>
      <c r="L20" s="68"/>
      <c r="M20" s="44"/>
      <c r="N20" s="44" t="s">
        <v>310</v>
      </c>
      <c r="O20" s="44"/>
      <c r="P20" s="13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74" t="s">
        <v>317</v>
      </c>
      <c r="C21" s="76" t="s">
        <v>318</v>
      </c>
      <c r="D21" s="78" t="s">
        <v>319</v>
      </c>
      <c r="E21" s="74"/>
      <c r="F21" s="76"/>
      <c r="G21" s="78"/>
      <c r="H21" s="74"/>
      <c r="I21" s="76"/>
      <c r="J21" s="78"/>
      <c r="K21" s="80" t="s">
        <v>319</v>
      </c>
      <c r="L21" s="88"/>
      <c r="M21" s="44"/>
      <c r="N21" s="44" t="s">
        <v>310</v>
      </c>
      <c r="O21" s="44"/>
      <c r="P21" s="13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3"/>
      <c r="C22" s="83"/>
      <c r="D22" s="85"/>
      <c r="E22" s="83"/>
      <c r="F22" s="83"/>
      <c r="G22" s="85"/>
      <c r="H22" s="83"/>
      <c r="I22" s="83"/>
      <c r="J22" s="85"/>
      <c r="K22" s="85"/>
      <c r="L22" s="88"/>
      <c r="M22" s="44"/>
      <c r="N22" s="44"/>
      <c r="O22" s="44"/>
      <c r="P22" s="13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91"/>
      <c r="C23" s="91"/>
      <c r="D23" s="89"/>
      <c r="E23" s="91"/>
      <c r="F23" s="91"/>
      <c r="G23" s="89"/>
      <c r="H23" s="91"/>
      <c r="I23" s="91"/>
      <c r="J23" s="89"/>
      <c r="K23" s="89"/>
      <c r="L23" s="93"/>
      <c r="M23" s="94"/>
      <c r="N23" s="94"/>
      <c r="O23" s="92"/>
      <c r="P23" s="131">
        <f>SUMPRODUCT(VALUE(K17:K21))-(SUM(L17:L21))</f>
        <v>1.022523148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46"/>
      <c r="C24" s="47"/>
      <c r="D24" s="49"/>
      <c r="E24" s="46"/>
      <c r="F24" s="47"/>
      <c r="G24" s="49"/>
      <c r="H24" s="46"/>
      <c r="I24" s="47"/>
      <c r="J24" s="49"/>
      <c r="K24" s="51"/>
      <c r="L24" s="108"/>
      <c r="M24" s="39"/>
      <c r="N24" s="39"/>
      <c r="O24" s="38"/>
      <c r="P24" s="129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57" t="s">
        <v>320</v>
      </c>
      <c r="C25" s="59" t="s">
        <v>321</v>
      </c>
      <c r="D25" s="61" t="s">
        <v>322</v>
      </c>
      <c r="E25" s="57"/>
      <c r="F25" s="59"/>
      <c r="G25" s="61"/>
      <c r="H25" s="57"/>
      <c r="I25" s="59"/>
      <c r="J25" s="61"/>
      <c r="K25" s="64" t="s">
        <v>322</v>
      </c>
      <c r="L25" s="68"/>
      <c r="M25" s="44"/>
      <c r="N25" s="44"/>
      <c r="O25" s="44"/>
      <c r="P25" s="130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57" t="s">
        <v>323</v>
      </c>
      <c r="C26" s="59" t="s">
        <v>324</v>
      </c>
      <c r="D26" s="61" t="s">
        <v>325</v>
      </c>
      <c r="E26" s="57"/>
      <c r="F26" s="59"/>
      <c r="G26" s="61"/>
      <c r="H26" s="57"/>
      <c r="I26" s="59"/>
      <c r="J26" s="61"/>
      <c r="K26" s="64" t="s">
        <v>325</v>
      </c>
      <c r="L26" s="68"/>
      <c r="M26" s="44"/>
      <c r="N26" s="44"/>
      <c r="O26" s="44"/>
      <c r="P26" s="130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57" t="s">
        <v>326</v>
      </c>
      <c r="C27" s="59" t="s">
        <v>327</v>
      </c>
      <c r="D27" s="61" t="s">
        <v>328</v>
      </c>
      <c r="E27" s="57"/>
      <c r="F27" s="59"/>
      <c r="G27" s="61"/>
      <c r="H27" s="57"/>
      <c r="I27" s="59"/>
      <c r="J27" s="61"/>
      <c r="K27" s="64" t="s">
        <v>328</v>
      </c>
      <c r="L27" s="68"/>
      <c r="M27" s="44"/>
      <c r="N27" s="44"/>
      <c r="O27" s="44"/>
      <c r="P27" s="130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74" t="s">
        <v>329</v>
      </c>
      <c r="C28" s="76" t="s">
        <v>330</v>
      </c>
      <c r="D28" s="78" t="s">
        <v>331</v>
      </c>
      <c r="E28" s="74"/>
      <c r="F28" s="76"/>
      <c r="G28" s="78"/>
      <c r="H28" s="74"/>
      <c r="I28" s="76"/>
      <c r="J28" s="78"/>
      <c r="K28" s="80" t="s">
        <v>331</v>
      </c>
      <c r="L28" s="88"/>
      <c r="M28" s="44"/>
      <c r="N28" s="44"/>
      <c r="O28" s="44"/>
      <c r="P28" s="130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3"/>
      <c r="C29" s="83"/>
      <c r="D29" s="85"/>
      <c r="E29" s="83"/>
      <c r="F29" s="83"/>
      <c r="G29" s="85"/>
      <c r="H29" s="83"/>
      <c r="I29" s="83"/>
      <c r="J29" s="85"/>
      <c r="K29" s="85"/>
      <c r="L29" s="88"/>
      <c r="M29" s="44"/>
      <c r="N29" s="44"/>
      <c r="O29" s="44"/>
      <c r="P29" s="130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91"/>
      <c r="C30" s="91"/>
      <c r="D30" s="89"/>
      <c r="E30" s="91"/>
      <c r="F30" s="91"/>
      <c r="G30" s="89"/>
      <c r="H30" s="91"/>
      <c r="I30" s="91"/>
      <c r="J30" s="89"/>
      <c r="K30" s="89"/>
      <c r="L30" s="93"/>
      <c r="M30" s="94"/>
      <c r="N30" s="94"/>
      <c r="O30" s="92"/>
      <c r="P30" s="131">
        <f>SUMPRODUCT(VALUE(K24:K28))-(SUM(L24:L28))</f>
        <v>0.6701851852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46" t="s">
        <v>332</v>
      </c>
      <c r="C31" s="47" t="s">
        <v>333</v>
      </c>
      <c r="D31" s="49" t="s">
        <v>334</v>
      </c>
      <c r="E31" s="46"/>
      <c r="F31" s="47"/>
      <c r="G31" s="49"/>
      <c r="H31" s="46"/>
      <c r="I31" s="47"/>
      <c r="J31" s="49"/>
      <c r="K31" s="51" t="s">
        <v>334</v>
      </c>
      <c r="L31" s="108"/>
      <c r="M31" s="39"/>
      <c r="N31" s="39"/>
      <c r="O31" s="38"/>
      <c r="P31" s="129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57"/>
      <c r="C32" s="59"/>
      <c r="D32" s="61"/>
      <c r="E32" s="57"/>
      <c r="F32" s="59"/>
      <c r="G32" s="61"/>
      <c r="H32" s="57"/>
      <c r="I32" s="59"/>
      <c r="J32" s="61"/>
      <c r="K32" s="64"/>
      <c r="L32" s="68"/>
      <c r="M32" s="44"/>
      <c r="N32" s="44"/>
      <c r="O32" s="44"/>
      <c r="P32" s="130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57" t="s">
        <v>335</v>
      </c>
      <c r="C33" s="59" t="s">
        <v>336</v>
      </c>
      <c r="D33" s="61" t="s">
        <v>337</v>
      </c>
      <c r="E33" s="57"/>
      <c r="F33" s="59"/>
      <c r="G33" s="61"/>
      <c r="H33" s="57"/>
      <c r="I33" s="59"/>
      <c r="J33" s="61"/>
      <c r="K33" s="64" t="s">
        <v>337</v>
      </c>
      <c r="L33" s="68"/>
      <c r="M33" s="44"/>
      <c r="N33" s="44"/>
      <c r="O33" s="44"/>
      <c r="P33" s="130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57"/>
      <c r="C34" s="59"/>
      <c r="D34" s="61"/>
      <c r="E34" s="57"/>
      <c r="F34" s="59"/>
      <c r="G34" s="61"/>
      <c r="H34" s="57"/>
      <c r="I34" s="59"/>
      <c r="J34" s="61"/>
      <c r="K34" s="64"/>
      <c r="L34" s="68"/>
      <c r="M34" s="44"/>
      <c r="N34" s="44"/>
      <c r="O34" s="44"/>
      <c r="P34" s="130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74"/>
      <c r="C35" s="76"/>
      <c r="D35" s="78"/>
      <c r="E35" s="74"/>
      <c r="F35" s="76"/>
      <c r="G35" s="78"/>
      <c r="H35" s="74"/>
      <c r="I35" s="76"/>
      <c r="J35" s="78"/>
      <c r="K35" s="80"/>
      <c r="L35" s="88"/>
      <c r="M35" s="44"/>
      <c r="N35" s="44"/>
      <c r="O35" s="44"/>
      <c r="P35" s="130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3"/>
      <c r="C36" s="83"/>
      <c r="D36" s="85"/>
      <c r="E36" s="83"/>
      <c r="F36" s="83"/>
      <c r="G36" s="85"/>
      <c r="H36" s="83"/>
      <c r="I36" s="83"/>
      <c r="J36" s="85"/>
      <c r="K36" s="85"/>
      <c r="L36" s="88"/>
      <c r="M36" s="44"/>
      <c r="N36" s="44"/>
      <c r="O36" s="44"/>
      <c r="P36" s="130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91"/>
      <c r="C37" s="91"/>
      <c r="D37" s="89"/>
      <c r="E37" s="91"/>
      <c r="F37" s="91"/>
      <c r="G37" s="89"/>
      <c r="H37" s="91"/>
      <c r="I37" s="91"/>
      <c r="J37" s="89"/>
      <c r="K37" s="89"/>
      <c r="L37" s="93"/>
      <c r="M37" s="94"/>
      <c r="N37" s="94"/>
      <c r="O37" s="92"/>
      <c r="P37" s="131">
        <f>SUMPRODUCT(VALUE(K31:K35))-(SUM(L31:L35))</f>
        <v>0.3784027778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46"/>
      <c r="C38" s="47"/>
      <c r="D38" s="49"/>
      <c r="E38" s="46"/>
      <c r="F38" s="47"/>
      <c r="G38" s="49"/>
      <c r="H38" s="46"/>
      <c r="I38" s="47"/>
      <c r="J38" s="49"/>
      <c r="K38" s="51"/>
      <c r="L38" s="108"/>
      <c r="M38" s="39"/>
      <c r="N38" s="39"/>
      <c r="O38" s="38"/>
      <c r="P38" s="129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57"/>
      <c r="C39" s="59"/>
      <c r="D39" s="61"/>
      <c r="E39" s="57"/>
      <c r="F39" s="59"/>
      <c r="G39" s="61"/>
      <c r="H39" s="57"/>
      <c r="I39" s="59"/>
      <c r="J39" s="61"/>
      <c r="K39" s="64"/>
      <c r="L39" s="68"/>
      <c r="M39" s="44"/>
      <c r="N39" s="44"/>
      <c r="O39" s="44"/>
      <c r="P39" s="130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57"/>
      <c r="C40" s="59"/>
      <c r="D40" s="61"/>
      <c r="E40" s="57"/>
      <c r="F40" s="59"/>
      <c r="G40" s="61"/>
      <c r="H40" s="57"/>
      <c r="I40" s="59"/>
      <c r="J40" s="61"/>
      <c r="K40" s="64"/>
      <c r="L40" s="68"/>
      <c r="M40" s="44"/>
      <c r="N40" s="44"/>
      <c r="O40" s="44"/>
      <c r="P40" s="130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57"/>
      <c r="C41" s="59"/>
      <c r="D41" s="61"/>
      <c r="E41" s="57"/>
      <c r="F41" s="59"/>
      <c r="G41" s="61"/>
      <c r="H41" s="57"/>
      <c r="I41" s="59"/>
      <c r="J41" s="61"/>
      <c r="K41" s="64"/>
      <c r="L41" s="68"/>
      <c r="M41" s="44"/>
      <c r="N41" s="44"/>
      <c r="O41" s="44"/>
      <c r="P41" s="130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74"/>
      <c r="C42" s="76"/>
      <c r="D42" s="78"/>
      <c r="E42" s="74"/>
      <c r="F42" s="76"/>
      <c r="G42" s="78"/>
      <c r="H42" s="74"/>
      <c r="I42" s="76"/>
      <c r="J42" s="78"/>
      <c r="K42" s="80"/>
      <c r="L42" s="88"/>
      <c r="M42" s="44"/>
      <c r="N42" s="44"/>
      <c r="O42" s="44"/>
      <c r="P42" s="130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3"/>
      <c r="C43" s="83"/>
      <c r="D43" s="85"/>
      <c r="E43" s="83"/>
      <c r="F43" s="83"/>
      <c r="G43" s="85"/>
      <c r="H43" s="83"/>
      <c r="I43" s="83"/>
      <c r="J43" s="85"/>
      <c r="K43" s="85"/>
      <c r="L43" s="88"/>
      <c r="M43" s="44"/>
      <c r="N43" s="44"/>
      <c r="O43" s="44"/>
      <c r="P43" s="130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91"/>
      <c r="C44" s="91"/>
      <c r="D44" s="89"/>
      <c r="E44" s="91"/>
      <c r="F44" s="91"/>
      <c r="G44" s="89"/>
      <c r="H44" s="91"/>
      <c r="I44" s="91"/>
      <c r="J44" s="89"/>
      <c r="K44" s="89"/>
      <c r="L44" s="93"/>
      <c r="M44" s="94"/>
      <c r="N44" s="94"/>
      <c r="O44" s="92"/>
      <c r="P44" s="131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46"/>
      <c r="C45" s="47"/>
      <c r="D45" s="49"/>
      <c r="E45" s="46"/>
      <c r="F45" s="47"/>
      <c r="G45" s="49"/>
      <c r="H45" s="46"/>
      <c r="I45" s="47"/>
      <c r="J45" s="49"/>
      <c r="K45" s="51"/>
      <c r="L45" s="108"/>
      <c r="M45" s="39"/>
      <c r="N45" s="39"/>
      <c r="O45" s="38"/>
      <c r="P45" s="129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57"/>
      <c r="C46" s="59"/>
      <c r="D46" s="61"/>
      <c r="E46" s="57"/>
      <c r="F46" s="59"/>
      <c r="G46" s="61"/>
      <c r="H46" s="57"/>
      <c r="I46" s="59"/>
      <c r="J46" s="61"/>
      <c r="K46" s="64"/>
      <c r="L46" s="68"/>
      <c r="M46" s="44"/>
      <c r="N46" s="44"/>
      <c r="O46" s="44"/>
      <c r="P46" s="130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57"/>
      <c r="C47" s="59"/>
      <c r="D47" s="61"/>
      <c r="E47" s="57"/>
      <c r="F47" s="59"/>
      <c r="G47" s="61"/>
      <c r="H47" s="57"/>
      <c r="I47" s="59"/>
      <c r="J47" s="61"/>
      <c r="K47" s="64"/>
      <c r="L47" s="68"/>
      <c r="M47" s="44"/>
      <c r="N47" s="44"/>
      <c r="O47" s="44"/>
      <c r="P47" s="130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57"/>
      <c r="C48" s="59"/>
      <c r="D48" s="61"/>
      <c r="E48" s="57"/>
      <c r="F48" s="59"/>
      <c r="G48" s="61"/>
      <c r="H48" s="57"/>
      <c r="I48" s="59"/>
      <c r="J48" s="61"/>
      <c r="K48" s="64"/>
      <c r="L48" s="68"/>
      <c r="M48" s="44"/>
      <c r="N48" s="44"/>
      <c r="O48" s="44"/>
      <c r="P48" s="130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74"/>
      <c r="C49" s="76"/>
      <c r="D49" s="78"/>
      <c r="E49" s="74"/>
      <c r="F49" s="76"/>
      <c r="G49" s="78"/>
      <c r="H49" s="74"/>
      <c r="I49" s="76"/>
      <c r="J49" s="78"/>
      <c r="K49" s="80"/>
      <c r="L49" s="88"/>
      <c r="M49" s="44"/>
      <c r="N49" s="44"/>
      <c r="O49" s="44"/>
      <c r="P49" s="130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3"/>
      <c r="C50" s="83"/>
      <c r="D50" s="85"/>
      <c r="E50" s="83"/>
      <c r="F50" s="83"/>
      <c r="G50" s="85"/>
      <c r="H50" s="83"/>
      <c r="I50" s="83"/>
      <c r="J50" s="85"/>
      <c r="K50" s="85"/>
      <c r="L50" s="88"/>
      <c r="M50" s="44"/>
      <c r="N50" s="44"/>
      <c r="O50" s="44"/>
      <c r="P50" s="130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91"/>
      <c r="C51" s="91"/>
      <c r="D51" s="89"/>
      <c r="E51" s="91"/>
      <c r="F51" s="91"/>
      <c r="G51" s="89"/>
      <c r="H51" s="91"/>
      <c r="I51" s="91"/>
      <c r="J51" s="89"/>
      <c r="K51" s="89"/>
      <c r="L51" s="93"/>
      <c r="M51" s="94"/>
      <c r="N51" s="94"/>
      <c r="O51" s="92"/>
      <c r="P51" s="131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46"/>
      <c r="C52" s="47"/>
      <c r="D52" s="49"/>
      <c r="E52" s="46"/>
      <c r="F52" s="47"/>
      <c r="G52" s="49"/>
      <c r="H52" s="46"/>
      <c r="I52" s="47"/>
      <c r="J52" s="49"/>
      <c r="K52" s="51"/>
      <c r="L52" s="108"/>
      <c r="M52" s="39"/>
      <c r="N52" s="39"/>
      <c r="O52" s="38"/>
      <c r="P52" s="129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57"/>
      <c r="C53" s="59"/>
      <c r="D53" s="61"/>
      <c r="E53" s="57"/>
      <c r="F53" s="59"/>
      <c r="G53" s="61"/>
      <c r="H53" s="57"/>
      <c r="I53" s="59"/>
      <c r="J53" s="61"/>
      <c r="K53" s="64"/>
      <c r="L53" s="68"/>
      <c r="M53" s="44"/>
      <c r="N53" s="44"/>
      <c r="O53" s="44"/>
      <c r="P53" s="130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57"/>
      <c r="C54" s="59"/>
      <c r="D54" s="61"/>
      <c r="E54" s="57"/>
      <c r="F54" s="59"/>
      <c r="G54" s="61"/>
      <c r="H54" s="57"/>
      <c r="I54" s="59"/>
      <c r="J54" s="61"/>
      <c r="K54" s="64"/>
      <c r="L54" s="68"/>
      <c r="M54" s="44"/>
      <c r="N54" s="44"/>
      <c r="O54" s="44"/>
      <c r="P54" s="130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57"/>
      <c r="C55" s="59"/>
      <c r="D55" s="61"/>
      <c r="E55" s="57"/>
      <c r="F55" s="59"/>
      <c r="G55" s="61"/>
      <c r="H55" s="57"/>
      <c r="I55" s="59"/>
      <c r="J55" s="61"/>
      <c r="K55" s="64"/>
      <c r="L55" s="68"/>
      <c r="M55" s="44"/>
      <c r="N55" s="44"/>
      <c r="O55" s="44"/>
      <c r="P55" s="130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74"/>
      <c r="C56" s="76"/>
      <c r="D56" s="78"/>
      <c r="E56" s="74"/>
      <c r="F56" s="76"/>
      <c r="G56" s="78"/>
      <c r="H56" s="74"/>
      <c r="I56" s="76"/>
      <c r="J56" s="78"/>
      <c r="K56" s="80"/>
      <c r="L56" s="88"/>
      <c r="M56" s="44"/>
      <c r="N56" s="44"/>
      <c r="O56" s="44"/>
      <c r="P56" s="130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3"/>
      <c r="C57" s="83"/>
      <c r="D57" s="85"/>
      <c r="E57" s="83"/>
      <c r="F57" s="83"/>
      <c r="G57" s="85"/>
      <c r="H57" s="83"/>
      <c r="I57" s="83"/>
      <c r="J57" s="85"/>
      <c r="K57" s="85"/>
      <c r="L57" s="88"/>
      <c r="M57" s="44"/>
      <c r="N57" s="44"/>
      <c r="O57" s="44"/>
      <c r="P57" s="130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91"/>
      <c r="C58" s="91"/>
      <c r="D58" s="89"/>
      <c r="E58" s="91"/>
      <c r="F58" s="91"/>
      <c r="G58" s="89"/>
      <c r="H58" s="91"/>
      <c r="I58" s="91"/>
      <c r="J58" s="89"/>
      <c r="K58" s="89"/>
      <c r="L58" s="93"/>
      <c r="M58" s="94"/>
      <c r="N58" s="94"/>
      <c r="O58" s="92"/>
      <c r="P58" s="131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46"/>
      <c r="C59" s="47"/>
      <c r="D59" s="49"/>
      <c r="E59" s="46"/>
      <c r="F59" s="47"/>
      <c r="G59" s="49"/>
      <c r="H59" s="46"/>
      <c r="I59" s="47"/>
      <c r="J59" s="49"/>
      <c r="K59" s="51"/>
      <c r="L59" s="108"/>
      <c r="M59" s="39"/>
      <c r="N59" s="39"/>
      <c r="O59" s="38"/>
      <c r="P59" s="129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57"/>
      <c r="C60" s="59"/>
      <c r="D60" s="61"/>
      <c r="E60" s="57"/>
      <c r="F60" s="59"/>
      <c r="G60" s="61"/>
      <c r="H60" s="57"/>
      <c r="I60" s="59"/>
      <c r="J60" s="61"/>
      <c r="K60" s="64"/>
      <c r="L60" s="68"/>
      <c r="M60" s="44"/>
      <c r="N60" s="44"/>
      <c r="O60" s="44"/>
      <c r="P60" s="130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57"/>
      <c r="C61" s="59"/>
      <c r="D61" s="61"/>
      <c r="E61" s="57"/>
      <c r="F61" s="59"/>
      <c r="G61" s="61"/>
      <c r="H61" s="57"/>
      <c r="I61" s="59"/>
      <c r="J61" s="61"/>
      <c r="K61" s="64"/>
      <c r="L61" s="68"/>
      <c r="M61" s="44"/>
      <c r="N61" s="44"/>
      <c r="O61" s="44"/>
      <c r="P61" s="130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57"/>
      <c r="C62" s="59"/>
      <c r="D62" s="61"/>
      <c r="E62" s="57"/>
      <c r="F62" s="59"/>
      <c r="G62" s="61"/>
      <c r="H62" s="57"/>
      <c r="I62" s="59"/>
      <c r="J62" s="61"/>
      <c r="K62" s="64"/>
      <c r="L62" s="68"/>
      <c r="M62" s="44"/>
      <c r="N62" s="44"/>
      <c r="O62" s="44"/>
      <c r="P62" s="130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74"/>
      <c r="C63" s="76"/>
      <c r="D63" s="78"/>
      <c r="E63" s="74"/>
      <c r="F63" s="76"/>
      <c r="G63" s="78"/>
      <c r="H63" s="74"/>
      <c r="I63" s="76"/>
      <c r="J63" s="78"/>
      <c r="K63" s="80"/>
      <c r="L63" s="88"/>
      <c r="M63" s="44"/>
      <c r="N63" s="44"/>
      <c r="O63" s="44"/>
      <c r="P63" s="130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3"/>
      <c r="C64" s="83"/>
      <c r="D64" s="85"/>
      <c r="E64" s="83"/>
      <c r="F64" s="83"/>
      <c r="G64" s="85"/>
      <c r="H64" s="83"/>
      <c r="I64" s="83"/>
      <c r="J64" s="85"/>
      <c r="K64" s="85"/>
      <c r="L64" s="88"/>
      <c r="M64" s="44"/>
      <c r="N64" s="44"/>
      <c r="O64" s="44"/>
      <c r="P64" s="130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91"/>
      <c r="C65" s="91"/>
      <c r="D65" s="89"/>
      <c r="E65" s="91"/>
      <c r="F65" s="91"/>
      <c r="G65" s="89"/>
      <c r="H65" s="91"/>
      <c r="I65" s="91"/>
      <c r="J65" s="89"/>
      <c r="K65" s="89"/>
      <c r="L65" s="93"/>
      <c r="M65" s="94"/>
      <c r="N65" s="94"/>
      <c r="O65" s="92"/>
      <c r="P65" s="131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46"/>
      <c r="C66" s="47"/>
      <c r="D66" s="49"/>
      <c r="E66" s="46"/>
      <c r="F66" s="47"/>
      <c r="G66" s="49"/>
      <c r="H66" s="46"/>
      <c r="I66" s="47"/>
      <c r="J66" s="49"/>
      <c r="K66" s="51"/>
      <c r="L66" s="108"/>
      <c r="M66" s="39"/>
      <c r="N66" s="39"/>
      <c r="O66" s="38"/>
      <c r="P66" s="129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57"/>
      <c r="C67" s="59"/>
      <c r="D67" s="61"/>
      <c r="E67" s="57"/>
      <c r="F67" s="59"/>
      <c r="G67" s="61"/>
      <c r="H67" s="57"/>
      <c r="I67" s="59"/>
      <c r="J67" s="61"/>
      <c r="K67" s="64"/>
      <c r="L67" s="68"/>
      <c r="M67" s="44"/>
      <c r="N67" s="44"/>
      <c r="O67" s="44"/>
      <c r="P67" s="130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57"/>
      <c r="C68" s="59"/>
      <c r="D68" s="61"/>
      <c r="E68" s="57"/>
      <c r="F68" s="59"/>
      <c r="G68" s="61"/>
      <c r="H68" s="57"/>
      <c r="I68" s="59"/>
      <c r="J68" s="61"/>
      <c r="K68" s="64"/>
      <c r="L68" s="68"/>
      <c r="M68" s="44"/>
      <c r="N68" s="44"/>
      <c r="O68" s="44"/>
      <c r="P68" s="130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57"/>
      <c r="C69" s="59"/>
      <c r="D69" s="61"/>
      <c r="E69" s="57"/>
      <c r="F69" s="59"/>
      <c r="G69" s="61"/>
      <c r="H69" s="57"/>
      <c r="I69" s="59"/>
      <c r="J69" s="61"/>
      <c r="K69" s="64"/>
      <c r="L69" s="68"/>
      <c r="M69" s="44"/>
      <c r="N69" s="44"/>
      <c r="O69" s="44"/>
      <c r="P69" s="130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74"/>
      <c r="C70" s="76"/>
      <c r="D70" s="78"/>
      <c r="E70" s="74"/>
      <c r="F70" s="76"/>
      <c r="G70" s="78"/>
      <c r="H70" s="74"/>
      <c r="I70" s="76"/>
      <c r="J70" s="78"/>
      <c r="K70" s="80"/>
      <c r="L70" s="88"/>
      <c r="M70" s="44"/>
      <c r="N70" s="44"/>
      <c r="O70" s="44"/>
      <c r="P70" s="130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3"/>
      <c r="C71" s="83"/>
      <c r="D71" s="85"/>
      <c r="E71" s="83"/>
      <c r="F71" s="83"/>
      <c r="G71" s="85"/>
      <c r="H71" s="83"/>
      <c r="I71" s="83"/>
      <c r="J71" s="85"/>
      <c r="K71" s="85"/>
      <c r="L71" s="88"/>
      <c r="M71" s="44"/>
      <c r="N71" s="44"/>
      <c r="O71" s="44"/>
      <c r="P71" s="130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91"/>
      <c r="C72" s="91"/>
      <c r="D72" s="89"/>
      <c r="E72" s="91"/>
      <c r="F72" s="91"/>
      <c r="G72" s="89"/>
      <c r="H72" s="91"/>
      <c r="I72" s="91"/>
      <c r="J72" s="89"/>
      <c r="K72" s="89"/>
      <c r="L72" s="93"/>
      <c r="M72" s="94"/>
      <c r="N72" s="94"/>
      <c r="O72" s="92"/>
      <c r="P72" s="131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46"/>
      <c r="C73" s="47"/>
      <c r="D73" s="49"/>
      <c r="E73" s="46"/>
      <c r="F73" s="47"/>
      <c r="G73" s="49"/>
      <c r="H73" s="46"/>
      <c r="I73" s="47"/>
      <c r="J73" s="49"/>
      <c r="K73" s="51"/>
      <c r="L73" s="108"/>
      <c r="M73" s="39"/>
      <c r="N73" s="39"/>
      <c r="O73" s="38"/>
      <c r="P73" s="129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57"/>
      <c r="C74" s="59"/>
      <c r="D74" s="61"/>
      <c r="E74" s="57"/>
      <c r="F74" s="59"/>
      <c r="G74" s="61"/>
      <c r="H74" s="57"/>
      <c r="I74" s="59"/>
      <c r="J74" s="61"/>
      <c r="K74" s="64"/>
      <c r="L74" s="68"/>
      <c r="M74" s="44"/>
      <c r="N74" s="44"/>
      <c r="O74" s="44"/>
      <c r="P74" s="130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57"/>
      <c r="C75" s="59"/>
      <c r="D75" s="61"/>
      <c r="E75" s="57"/>
      <c r="F75" s="59"/>
      <c r="G75" s="61"/>
      <c r="H75" s="57"/>
      <c r="I75" s="59"/>
      <c r="J75" s="61"/>
      <c r="K75" s="64"/>
      <c r="L75" s="68"/>
      <c r="M75" s="44"/>
      <c r="N75" s="44"/>
      <c r="O75" s="44"/>
      <c r="P75" s="130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57"/>
      <c r="C76" s="59"/>
      <c r="D76" s="61"/>
      <c r="E76" s="57"/>
      <c r="F76" s="59"/>
      <c r="G76" s="61"/>
      <c r="H76" s="57"/>
      <c r="I76" s="59"/>
      <c r="J76" s="61"/>
      <c r="K76" s="64"/>
      <c r="L76" s="68"/>
      <c r="M76" s="44"/>
      <c r="N76" s="44"/>
      <c r="O76" s="44"/>
      <c r="P76" s="130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74"/>
      <c r="C77" s="76"/>
      <c r="D77" s="78"/>
      <c r="E77" s="74"/>
      <c r="F77" s="76"/>
      <c r="G77" s="78"/>
      <c r="H77" s="74"/>
      <c r="I77" s="76"/>
      <c r="J77" s="78"/>
      <c r="K77" s="80"/>
      <c r="L77" s="88"/>
      <c r="M77" s="44"/>
      <c r="N77" s="44"/>
      <c r="O77" s="44"/>
      <c r="P77" s="130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3"/>
      <c r="C78" s="83"/>
      <c r="D78" s="85"/>
      <c r="E78" s="83"/>
      <c r="F78" s="83"/>
      <c r="G78" s="85"/>
      <c r="H78" s="83"/>
      <c r="I78" s="83"/>
      <c r="J78" s="85"/>
      <c r="K78" s="85"/>
      <c r="L78" s="88"/>
      <c r="M78" s="44"/>
      <c r="N78" s="44"/>
      <c r="O78" s="44"/>
      <c r="P78" s="130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91"/>
      <c r="C79" s="91"/>
      <c r="D79" s="89"/>
      <c r="E79" s="91"/>
      <c r="F79" s="91"/>
      <c r="G79" s="89"/>
      <c r="H79" s="91"/>
      <c r="I79" s="91"/>
      <c r="J79" s="89"/>
      <c r="K79" s="89"/>
      <c r="L79" s="93"/>
      <c r="M79" s="94"/>
      <c r="N79" s="94"/>
      <c r="O79" s="92"/>
      <c r="P79" s="131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46"/>
      <c r="C80" s="47"/>
      <c r="D80" s="49"/>
      <c r="E80" s="46"/>
      <c r="F80" s="47"/>
      <c r="G80" s="49"/>
      <c r="H80" s="46"/>
      <c r="I80" s="47"/>
      <c r="J80" s="49"/>
      <c r="K80" s="51"/>
      <c r="L80" s="108"/>
      <c r="M80" s="39"/>
      <c r="N80" s="39"/>
      <c r="O80" s="38"/>
      <c r="P80" s="129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57"/>
      <c r="C81" s="59"/>
      <c r="D81" s="61"/>
      <c r="E81" s="57"/>
      <c r="F81" s="59"/>
      <c r="G81" s="61"/>
      <c r="H81" s="57"/>
      <c r="I81" s="59"/>
      <c r="J81" s="61"/>
      <c r="K81" s="64"/>
      <c r="L81" s="68"/>
      <c r="M81" s="44"/>
      <c r="N81" s="44"/>
      <c r="O81" s="44"/>
      <c r="P81" s="130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57"/>
      <c r="C82" s="59"/>
      <c r="D82" s="61"/>
      <c r="E82" s="57"/>
      <c r="F82" s="59"/>
      <c r="G82" s="61"/>
      <c r="H82" s="57"/>
      <c r="I82" s="59"/>
      <c r="J82" s="61"/>
      <c r="K82" s="64"/>
      <c r="L82" s="68"/>
      <c r="M82" s="44"/>
      <c r="N82" s="44"/>
      <c r="O82" s="44"/>
      <c r="P82" s="130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57"/>
      <c r="C83" s="59"/>
      <c r="D83" s="61"/>
      <c r="E83" s="57"/>
      <c r="F83" s="59"/>
      <c r="G83" s="61"/>
      <c r="H83" s="57"/>
      <c r="I83" s="59"/>
      <c r="J83" s="61"/>
      <c r="K83" s="64"/>
      <c r="L83" s="68"/>
      <c r="M83" s="44"/>
      <c r="N83" s="44"/>
      <c r="O83" s="44"/>
      <c r="P83" s="130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74"/>
      <c r="C84" s="76"/>
      <c r="D84" s="78"/>
      <c r="E84" s="74"/>
      <c r="F84" s="76"/>
      <c r="G84" s="78"/>
      <c r="H84" s="74"/>
      <c r="I84" s="76"/>
      <c r="J84" s="78"/>
      <c r="K84" s="80"/>
      <c r="L84" s="88"/>
      <c r="M84" s="44"/>
      <c r="N84" s="44"/>
      <c r="O84" s="44"/>
      <c r="P84" s="130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3"/>
      <c r="C85" s="83"/>
      <c r="D85" s="85"/>
      <c r="E85" s="83"/>
      <c r="F85" s="83"/>
      <c r="G85" s="85"/>
      <c r="H85" s="83"/>
      <c r="I85" s="83"/>
      <c r="J85" s="85"/>
      <c r="K85" s="85"/>
      <c r="L85" s="88"/>
      <c r="M85" s="44"/>
      <c r="N85" s="44"/>
      <c r="O85" s="44"/>
      <c r="P85" s="130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91"/>
      <c r="C86" s="91"/>
      <c r="D86" s="89"/>
      <c r="E86" s="91"/>
      <c r="F86" s="91"/>
      <c r="G86" s="89"/>
      <c r="H86" s="91"/>
      <c r="I86" s="91"/>
      <c r="J86" s="89"/>
      <c r="K86" s="89"/>
      <c r="L86" s="93"/>
      <c r="M86" s="94"/>
      <c r="N86" s="94"/>
      <c r="O86" s="92"/>
      <c r="P86" s="131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46"/>
      <c r="C87" s="47"/>
      <c r="D87" s="49"/>
      <c r="E87" s="46"/>
      <c r="F87" s="47"/>
      <c r="G87" s="49"/>
      <c r="H87" s="46"/>
      <c r="I87" s="47"/>
      <c r="J87" s="49"/>
      <c r="K87" s="51"/>
      <c r="L87" s="108"/>
      <c r="M87" s="39"/>
      <c r="N87" s="39"/>
      <c r="O87" s="38"/>
      <c r="P87" s="129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57"/>
      <c r="C88" s="59"/>
      <c r="D88" s="61"/>
      <c r="E88" s="57"/>
      <c r="F88" s="59"/>
      <c r="G88" s="61"/>
      <c r="H88" s="57"/>
      <c r="I88" s="59"/>
      <c r="J88" s="61"/>
      <c r="K88" s="64"/>
      <c r="L88" s="68"/>
      <c r="M88" s="44"/>
      <c r="N88" s="44"/>
      <c r="O88" s="44"/>
      <c r="P88" s="130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57"/>
      <c r="C89" s="59"/>
      <c r="D89" s="61"/>
      <c r="E89" s="57"/>
      <c r="F89" s="59"/>
      <c r="G89" s="61"/>
      <c r="H89" s="57"/>
      <c r="I89" s="59"/>
      <c r="J89" s="61"/>
      <c r="K89" s="64"/>
      <c r="L89" s="68"/>
      <c r="M89" s="44"/>
      <c r="N89" s="44"/>
      <c r="O89" s="44"/>
      <c r="P89" s="130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57"/>
      <c r="C90" s="59"/>
      <c r="D90" s="61"/>
      <c r="E90" s="57"/>
      <c r="F90" s="59"/>
      <c r="G90" s="61"/>
      <c r="H90" s="57"/>
      <c r="I90" s="59"/>
      <c r="J90" s="61"/>
      <c r="K90" s="64"/>
      <c r="L90" s="68"/>
      <c r="M90" s="44"/>
      <c r="N90" s="44"/>
      <c r="O90" s="44"/>
      <c r="P90" s="130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74"/>
      <c r="C91" s="76"/>
      <c r="D91" s="78"/>
      <c r="E91" s="74"/>
      <c r="F91" s="76"/>
      <c r="G91" s="78"/>
      <c r="H91" s="74"/>
      <c r="I91" s="76"/>
      <c r="J91" s="78"/>
      <c r="K91" s="80"/>
      <c r="L91" s="88"/>
      <c r="M91" s="44"/>
      <c r="N91" s="44"/>
      <c r="O91" s="44"/>
      <c r="P91" s="130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3"/>
      <c r="C92" s="83"/>
      <c r="D92" s="85"/>
      <c r="E92" s="83"/>
      <c r="F92" s="83"/>
      <c r="G92" s="85"/>
      <c r="H92" s="83"/>
      <c r="I92" s="83"/>
      <c r="J92" s="85"/>
      <c r="K92" s="85"/>
      <c r="L92" s="88"/>
      <c r="M92" s="44"/>
      <c r="N92" s="44"/>
      <c r="O92" s="44"/>
      <c r="P92" s="130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91"/>
      <c r="C93" s="91"/>
      <c r="D93" s="89"/>
      <c r="E93" s="91"/>
      <c r="F93" s="91"/>
      <c r="G93" s="89"/>
      <c r="H93" s="91"/>
      <c r="I93" s="91"/>
      <c r="J93" s="89"/>
      <c r="K93" s="89"/>
      <c r="L93" s="93"/>
      <c r="M93" s="94"/>
      <c r="N93" s="94"/>
      <c r="O93" s="92"/>
      <c r="P93" s="131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46"/>
      <c r="C94" s="47"/>
      <c r="D94" s="49"/>
      <c r="E94" s="46"/>
      <c r="F94" s="47"/>
      <c r="G94" s="49"/>
      <c r="H94" s="46"/>
      <c r="I94" s="47"/>
      <c r="J94" s="49"/>
      <c r="K94" s="51"/>
      <c r="L94" s="108"/>
      <c r="M94" s="39"/>
      <c r="N94" s="39"/>
      <c r="O94" s="38"/>
      <c r="P94" s="129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57"/>
      <c r="C95" s="59"/>
      <c r="D95" s="61"/>
      <c r="E95" s="57"/>
      <c r="F95" s="59"/>
      <c r="G95" s="61"/>
      <c r="H95" s="57"/>
      <c r="I95" s="59"/>
      <c r="J95" s="61"/>
      <c r="K95" s="64"/>
      <c r="L95" s="68"/>
      <c r="M95" s="44"/>
      <c r="N95" s="44"/>
      <c r="O95" s="44"/>
      <c r="P95" s="130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57"/>
      <c r="C96" s="59"/>
      <c r="D96" s="61"/>
      <c r="E96" s="57"/>
      <c r="F96" s="59"/>
      <c r="G96" s="61"/>
      <c r="H96" s="57"/>
      <c r="I96" s="59"/>
      <c r="J96" s="61"/>
      <c r="K96" s="64"/>
      <c r="L96" s="68"/>
      <c r="M96" s="44"/>
      <c r="N96" s="44"/>
      <c r="O96" s="44"/>
      <c r="P96" s="130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57"/>
      <c r="C97" s="59"/>
      <c r="D97" s="61"/>
      <c r="E97" s="57"/>
      <c r="F97" s="59"/>
      <c r="G97" s="61"/>
      <c r="H97" s="57"/>
      <c r="I97" s="59"/>
      <c r="J97" s="61"/>
      <c r="K97" s="64"/>
      <c r="L97" s="68"/>
      <c r="M97" s="44"/>
      <c r="N97" s="44"/>
      <c r="O97" s="44"/>
      <c r="P97" s="130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74"/>
      <c r="C98" s="76"/>
      <c r="D98" s="78"/>
      <c r="E98" s="74"/>
      <c r="F98" s="76"/>
      <c r="G98" s="78"/>
      <c r="H98" s="74"/>
      <c r="I98" s="76"/>
      <c r="J98" s="78"/>
      <c r="K98" s="80"/>
      <c r="L98" s="88"/>
      <c r="M98" s="44"/>
      <c r="N98" s="44"/>
      <c r="O98" s="44"/>
      <c r="P98" s="130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3"/>
      <c r="C99" s="83"/>
      <c r="D99" s="85"/>
      <c r="E99" s="83"/>
      <c r="F99" s="83"/>
      <c r="G99" s="85"/>
      <c r="H99" s="83"/>
      <c r="I99" s="83"/>
      <c r="J99" s="85"/>
      <c r="K99" s="85"/>
      <c r="L99" s="88"/>
      <c r="M99" s="44"/>
      <c r="N99" s="44"/>
      <c r="O99" s="44"/>
      <c r="P99" s="130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91"/>
      <c r="C100" s="91"/>
      <c r="D100" s="89"/>
      <c r="E100" s="91"/>
      <c r="F100" s="91"/>
      <c r="G100" s="89"/>
      <c r="H100" s="91"/>
      <c r="I100" s="91"/>
      <c r="J100" s="89"/>
      <c r="K100" s="89"/>
      <c r="L100" s="93"/>
      <c r="M100" s="94"/>
      <c r="N100" s="94"/>
      <c r="O100" s="92"/>
      <c r="P100" s="131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46"/>
      <c r="C101" s="47"/>
      <c r="D101" s="49"/>
      <c r="E101" s="46"/>
      <c r="F101" s="47"/>
      <c r="G101" s="49"/>
      <c r="H101" s="46"/>
      <c r="I101" s="47"/>
      <c r="J101" s="49"/>
      <c r="K101" s="51"/>
      <c r="L101" s="108"/>
      <c r="M101" s="39"/>
      <c r="N101" s="39"/>
      <c r="O101" s="38"/>
      <c r="P101" s="129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57"/>
      <c r="C102" s="59"/>
      <c r="D102" s="61"/>
      <c r="E102" s="57"/>
      <c r="F102" s="59"/>
      <c r="G102" s="61"/>
      <c r="H102" s="57"/>
      <c r="I102" s="59"/>
      <c r="J102" s="61"/>
      <c r="K102" s="64"/>
      <c r="L102" s="68"/>
      <c r="M102" s="44"/>
      <c r="N102" s="44"/>
      <c r="O102" s="44"/>
      <c r="P102" s="130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57"/>
      <c r="C103" s="59"/>
      <c r="D103" s="61"/>
      <c r="E103" s="57"/>
      <c r="F103" s="59"/>
      <c r="G103" s="61"/>
      <c r="H103" s="57"/>
      <c r="I103" s="59"/>
      <c r="J103" s="61"/>
      <c r="K103" s="64"/>
      <c r="L103" s="68"/>
      <c r="M103" s="44"/>
      <c r="N103" s="44"/>
      <c r="O103" s="44"/>
      <c r="P103" s="130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57"/>
      <c r="C104" s="59"/>
      <c r="D104" s="61"/>
      <c r="E104" s="57"/>
      <c r="F104" s="59"/>
      <c r="G104" s="61"/>
      <c r="H104" s="57"/>
      <c r="I104" s="59"/>
      <c r="J104" s="61"/>
      <c r="K104" s="64"/>
      <c r="L104" s="68"/>
      <c r="M104" s="44"/>
      <c r="N104" s="44"/>
      <c r="O104" s="44"/>
      <c r="P104" s="130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74"/>
      <c r="C105" s="76"/>
      <c r="D105" s="78"/>
      <c r="E105" s="74"/>
      <c r="F105" s="76"/>
      <c r="G105" s="78"/>
      <c r="H105" s="74"/>
      <c r="I105" s="76"/>
      <c r="J105" s="78"/>
      <c r="K105" s="80"/>
      <c r="L105" s="88"/>
      <c r="M105" s="44"/>
      <c r="N105" s="44"/>
      <c r="O105" s="44"/>
      <c r="P105" s="130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3"/>
      <c r="C106" s="83"/>
      <c r="D106" s="85"/>
      <c r="E106" s="83"/>
      <c r="F106" s="83"/>
      <c r="G106" s="85"/>
      <c r="H106" s="83"/>
      <c r="I106" s="83"/>
      <c r="J106" s="85"/>
      <c r="K106" s="85"/>
      <c r="L106" s="88"/>
      <c r="M106" s="44"/>
      <c r="N106" s="44"/>
      <c r="O106" s="44"/>
      <c r="P106" s="130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91"/>
      <c r="C107" s="91"/>
      <c r="D107" s="89"/>
      <c r="E107" s="91"/>
      <c r="F107" s="91"/>
      <c r="G107" s="89"/>
      <c r="H107" s="91"/>
      <c r="I107" s="91"/>
      <c r="J107" s="89"/>
      <c r="K107" s="89"/>
      <c r="L107" s="93"/>
      <c r="M107" s="94"/>
      <c r="N107" s="94"/>
      <c r="O107" s="92"/>
      <c r="P107" s="131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46"/>
      <c r="C108" s="47"/>
      <c r="D108" s="49"/>
      <c r="E108" s="46"/>
      <c r="F108" s="47"/>
      <c r="G108" s="49"/>
      <c r="H108" s="46"/>
      <c r="I108" s="47"/>
      <c r="J108" s="49"/>
      <c r="K108" s="51"/>
      <c r="L108" s="108"/>
      <c r="M108" s="39"/>
      <c r="N108" s="39"/>
      <c r="O108" s="38"/>
      <c r="P108" s="129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57"/>
      <c r="C109" s="59"/>
      <c r="D109" s="61"/>
      <c r="E109" s="57"/>
      <c r="F109" s="59"/>
      <c r="G109" s="61"/>
      <c r="H109" s="57"/>
      <c r="I109" s="59"/>
      <c r="J109" s="61"/>
      <c r="K109" s="64"/>
      <c r="L109" s="68"/>
      <c r="M109" s="44"/>
      <c r="N109" s="44"/>
      <c r="O109" s="44"/>
      <c r="P109" s="130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57"/>
      <c r="C110" s="59"/>
      <c r="D110" s="61"/>
      <c r="E110" s="57"/>
      <c r="F110" s="59"/>
      <c r="G110" s="61"/>
      <c r="H110" s="57"/>
      <c r="I110" s="59"/>
      <c r="J110" s="61"/>
      <c r="K110" s="64"/>
      <c r="L110" s="68"/>
      <c r="M110" s="44"/>
      <c r="N110" s="44"/>
      <c r="O110" s="44"/>
      <c r="P110" s="130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57"/>
      <c r="C111" s="59"/>
      <c r="D111" s="61"/>
      <c r="E111" s="57"/>
      <c r="F111" s="59"/>
      <c r="G111" s="61"/>
      <c r="H111" s="57"/>
      <c r="I111" s="59"/>
      <c r="J111" s="61"/>
      <c r="K111" s="64"/>
      <c r="L111" s="68"/>
      <c r="M111" s="44"/>
      <c r="N111" s="44"/>
      <c r="O111" s="44"/>
      <c r="P111" s="130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74"/>
      <c r="C112" s="76"/>
      <c r="D112" s="78"/>
      <c r="E112" s="74"/>
      <c r="F112" s="76"/>
      <c r="G112" s="78"/>
      <c r="H112" s="74"/>
      <c r="I112" s="76"/>
      <c r="J112" s="78"/>
      <c r="K112" s="80"/>
      <c r="L112" s="88"/>
      <c r="M112" s="44"/>
      <c r="N112" s="44"/>
      <c r="O112" s="44"/>
      <c r="P112" s="130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3"/>
      <c r="C113" s="83"/>
      <c r="D113" s="85"/>
      <c r="E113" s="83"/>
      <c r="F113" s="83"/>
      <c r="G113" s="85"/>
      <c r="H113" s="83"/>
      <c r="I113" s="83"/>
      <c r="J113" s="85"/>
      <c r="K113" s="85"/>
      <c r="L113" s="88"/>
      <c r="M113" s="44"/>
      <c r="N113" s="44"/>
      <c r="O113" s="44"/>
      <c r="P113" s="130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91"/>
      <c r="C114" s="91"/>
      <c r="D114" s="89"/>
      <c r="E114" s="91"/>
      <c r="F114" s="91"/>
      <c r="G114" s="89"/>
      <c r="H114" s="91"/>
      <c r="I114" s="91"/>
      <c r="J114" s="89"/>
      <c r="K114" s="89"/>
      <c r="L114" s="93"/>
      <c r="M114" s="94"/>
      <c r="N114" s="94"/>
      <c r="O114" s="92"/>
      <c r="P114" s="131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46"/>
      <c r="C115" s="47"/>
      <c r="D115" s="49"/>
      <c r="E115" s="46"/>
      <c r="F115" s="47"/>
      <c r="G115" s="49"/>
      <c r="H115" s="46"/>
      <c r="I115" s="47"/>
      <c r="J115" s="49"/>
      <c r="K115" s="51"/>
      <c r="L115" s="108"/>
      <c r="M115" s="39"/>
      <c r="N115" s="39"/>
      <c r="O115" s="38"/>
      <c r="P115" s="129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57"/>
      <c r="C116" s="59"/>
      <c r="D116" s="61"/>
      <c r="E116" s="57"/>
      <c r="F116" s="59"/>
      <c r="G116" s="61"/>
      <c r="H116" s="57"/>
      <c r="I116" s="59"/>
      <c r="J116" s="61"/>
      <c r="K116" s="64"/>
      <c r="L116" s="68"/>
      <c r="M116" s="44"/>
      <c r="N116" s="44"/>
      <c r="O116" s="44"/>
      <c r="P116" s="130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57"/>
      <c r="C117" s="59"/>
      <c r="D117" s="61"/>
      <c r="E117" s="57"/>
      <c r="F117" s="59"/>
      <c r="G117" s="61"/>
      <c r="H117" s="57"/>
      <c r="I117" s="59"/>
      <c r="J117" s="61"/>
      <c r="K117" s="64"/>
      <c r="L117" s="68"/>
      <c r="M117" s="44"/>
      <c r="N117" s="44"/>
      <c r="O117" s="44"/>
      <c r="P117" s="130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57"/>
      <c r="C118" s="59"/>
      <c r="D118" s="61"/>
      <c r="E118" s="57"/>
      <c r="F118" s="59"/>
      <c r="G118" s="61"/>
      <c r="H118" s="57"/>
      <c r="I118" s="59"/>
      <c r="J118" s="61"/>
      <c r="K118" s="64"/>
      <c r="L118" s="68"/>
      <c r="M118" s="44"/>
      <c r="N118" s="44"/>
      <c r="O118" s="44"/>
      <c r="P118" s="130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74"/>
      <c r="C119" s="76"/>
      <c r="D119" s="78"/>
      <c r="E119" s="74"/>
      <c r="F119" s="76"/>
      <c r="G119" s="78"/>
      <c r="H119" s="74"/>
      <c r="I119" s="76"/>
      <c r="J119" s="78"/>
      <c r="K119" s="80"/>
      <c r="L119" s="88"/>
      <c r="M119" s="44"/>
      <c r="N119" s="44"/>
      <c r="O119" s="44"/>
      <c r="P119" s="130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3"/>
      <c r="C120" s="83"/>
      <c r="D120" s="85"/>
      <c r="E120" s="83"/>
      <c r="F120" s="83"/>
      <c r="G120" s="85"/>
      <c r="H120" s="83"/>
      <c r="I120" s="83"/>
      <c r="J120" s="85"/>
      <c r="K120" s="85"/>
      <c r="L120" s="88"/>
      <c r="M120" s="44"/>
      <c r="N120" s="44"/>
      <c r="O120" s="44"/>
      <c r="P120" s="130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91"/>
      <c r="C121" s="91"/>
      <c r="D121" s="89"/>
      <c r="E121" s="91"/>
      <c r="F121" s="91"/>
      <c r="G121" s="89"/>
      <c r="H121" s="91"/>
      <c r="I121" s="91"/>
      <c r="J121" s="89"/>
      <c r="K121" s="89"/>
      <c r="L121" s="93"/>
      <c r="M121" s="94"/>
      <c r="N121" s="94"/>
      <c r="O121" s="92"/>
      <c r="P121" s="131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46"/>
      <c r="C122" s="47"/>
      <c r="D122" s="49"/>
      <c r="E122" s="46"/>
      <c r="F122" s="47"/>
      <c r="G122" s="49"/>
      <c r="H122" s="46"/>
      <c r="I122" s="47"/>
      <c r="J122" s="49"/>
      <c r="K122" s="51"/>
      <c r="L122" s="108"/>
      <c r="M122" s="39"/>
      <c r="N122" s="39"/>
      <c r="O122" s="38"/>
      <c r="P122" s="129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57"/>
      <c r="C123" s="59"/>
      <c r="D123" s="61"/>
      <c r="E123" s="57"/>
      <c r="F123" s="59"/>
      <c r="G123" s="61"/>
      <c r="H123" s="57"/>
      <c r="I123" s="59"/>
      <c r="J123" s="61"/>
      <c r="K123" s="64"/>
      <c r="L123" s="68"/>
      <c r="M123" s="44"/>
      <c r="N123" s="44"/>
      <c r="O123" s="44"/>
      <c r="P123" s="130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57"/>
      <c r="C124" s="59"/>
      <c r="D124" s="61"/>
      <c r="E124" s="57"/>
      <c r="F124" s="59"/>
      <c r="G124" s="61"/>
      <c r="H124" s="57"/>
      <c r="I124" s="59"/>
      <c r="J124" s="61"/>
      <c r="K124" s="64"/>
      <c r="L124" s="68"/>
      <c r="M124" s="44"/>
      <c r="N124" s="44"/>
      <c r="O124" s="44"/>
      <c r="P124" s="130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57"/>
      <c r="C125" s="59"/>
      <c r="D125" s="61"/>
      <c r="E125" s="57"/>
      <c r="F125" s="59"/>
      <c r="G125" s="61"/>
      <c r="H125" s="57"/>
      <c r="I125" s="59"/>
      <c r="J125" s="61"/>
      <c r="K125" s="64"/>
      <c r="L125" s="68"/>
      <c r="M125" s="44"/>
      <c r="N125" s="44"/>
      <c r="O125" s="44"/>
      <c r="P125" s="130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74"/>
      <c r="C126" s="76"/>
      <c r="D126" s="78"/>
      <c r="E126" s="74"/>
      <c r="F126" s="76"/>
      <c r="G126" s="78"/>
      <c r="H126" s="74"/>
      <c r="I126" s="76"/>
      <c r="J126" s="78"/>
      <c r="K126" s="80"/>
      <c r="L126" s="88"/>
      <c r="M126" s="44"/>
      <c r="N126" s="44"/>
      <c r="O126" s="44"/>
      <c r="P126" s="130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3"/>
      <c r="C127" s="83"/>
      <c r="D127" s="85"/>
      <c r="E127" s="83"/>
      <c r="F127" s="83"/>
      <c r="G127" s="85"/>
      <c r="H127" s="83"/>
      <c r="I127" s="83"/>
      <c r="J127" s="85"/>
      <c r="K127" s="85"/>
      <c r="L127" s="88"/>
      <c r="M127" s="44"/>
      <c r="N127" s="44"/>
      <c r="O127" s="44"/>
      <c r="P127" s="130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91"/>
      <c r="C128" s="91"/>
      <c r="D128" s="89"/>
      <c r="E128" s="91"/>
      <c r="F128" s="91"/>
      <c r="G128" s="89"/>
      <c r="H128" s="91"/>
      <c r="I128" s="91"/>
      <c r="J128" s="89"/>
      <c r="K128" s="89"/>
      <c r="L128" s="93"/>
      <c r="M128" s="94"/>
      <c r="N128" s="94"/>
      <c r="O128" s="92"/>
      <c r="P128" s="131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46"/>
      <c r="C129" s="47"/>
      <c r="D129" s="49"/>
      <c r="E129" s="46"/>
      <c r="F129" s="47"/>
      <c r="G129" s="49"/>
      <c r="H129" s="46"/>
      <c r="I129" s="47"/>
      <c r="J129" s="49"/>
      <c r="K129" s="51"/>
      <c r="L129" s="108"/>
      <c r="M129" s="39"/>
      <c r="N129" s="39"/>
      <c r="O129" s="38"/>
      <c r="P129" s="129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57"/>
      <c r="C130" s="59"/>
      <c r="D130" s="61"/>
      <c r="E130" s="57"/>
      <c r="F130" s="59"/>
      <c r="G130" s="61"/>
      <c r="H130" s="57"/>
      <c r="I130" s="59"/>
      <c r="J130" s="61"/>
      <c r="K130" s="64"/>
      <c r="L130" s="68"/>
      <c r="M130" s="44"/>
      <c r="N130" s="44"/>
      <c r="O130" s="44"/>
      <c r="P130" s="130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57"/>
      <c r="C131" s="59"/>
      <c r="D131" s="61"/>
      <c r="E131" s="57"/>
      <c r="F131" s="59"/>
      <c r="G131" s="61"/>
      <c r="H131" s="57"/>
      <c r="I131" s="59"/>
      <c r="J131" s="61"/>
      <c r="K131" s="64"/>
      <c r="L131" s="68"/>
      <c r="M131" s="44"/>
      <c r="N131" s="44"/>
      <c r="O131" s="44"/>
      <c r="P131" s="130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57"/>
      <c r="C132" s="59"/>
      <c r="D132" s="61"/>
      <c r="E132" s="57"/>
      <c r="F132" s="59"/>
      <c r="G132" s="61"/>
      <c r="H132" s="57"/>
      <c r="I132" s="59"/>
      <c r="J132" s="61"/>
      <c r="K132" s="64"/>
      <c r="L132" s="68"/>
      <c r="M132" s="44"/>
      <c r="N132" s="44"/>
      <c r="O132" s="44"/>
      <c r="P132" s="130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74"/>
      <c r="C133" s="76"/>
      <c r="D133" s="78"/>
      <c r="E133" s="74"/>
      <c r="F133" s="76"/>
      <c r="G133" s="78"/>
      <c r="H133" s="74"/>
      <c r="I133" s="76"/>
      <c r="J133" s="78"/>
      <c r="K133" s="80"/>
      <c r="L133" s="88"/>
      <c r="M133" s="44"/>
      <c r="N133" s="44"/>
      <c r="O133" s="44"/>
      <c r="P133" s="130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3"/>
      <c r="C134" s="83"/>
      <c r="D134" s="85"/>
      <c r="E134" s="83"/>
      <c r="F134" s="83"/>
      <c r="G134" s="85"/>
      <c r="H134" s="83"/>
      <c r="I134" s="83"/>
      <c r="J134" s="85"/>
      <c r="K134" s="85"/>
      <c r="L134" s="88"/>
      <c r="M134" s="44"/>
      <c r="N134" s="44"/>
      <c r="O134" s="44"/>
      <c r="P134" s="130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91"/>
      <c r="C135" s="91"/>
      <c r="D135" s="89"/>
      <c r="E135" s="91"/>
      <c r="F135" s="91"/>
      <c r="G135" s="89"/>
      <c r="H135" s="91"/>
      <c r="I135" s="91"/>
      <c r="J135" s="89"/>
      <c r="K135" s="89"/>
      <c r="L135" s="93"/>
      <c r="M135" s="94"/>
      <c r="N135" s="94"/>
      <c r="O135" s="92"/>
      <c r="P135" s="131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46"/>
      <c r="C136" s="47"/>
      <c r="D136" s="49"/>
      <c r="E136" s="46"/>
      <c r="F136" s="47"/>
      <c r="G136" s="49"/>
      <c r="H136" s="46"/>
      <c r="I136" s="47"/>
      <c r="J136" s="49"/>
      <c r="K136" s="51"/>
      <c r="L136" s="108"/>
      <c r="M136" s="39"/>
      <c r="N136" s="39"/>
      <c r="O136" s="38"/>
      <c r="P136" s="129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57"/>
      <c r="C137" s="59"/>
      <c r="D137" s="61"/>
      <c r="E137" s="57"/>
      <c r="F137" s="59"/>
      <c r="G137" s="61"/>
      <c r="H137" s="57"/>
      <c r="I137" s="59"/>
      <c r="J137" s="61"/>
      <c r="K137" s="64"/>
      <c r="L137" s="68"/>
      <c r="M137" s="44"/>
      <c r="N137" s="44"/>
      <c r="O137" s="44"/>
      <c r="P137" s="130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57"/>
      <c r="C138" s="59"/>
      <c r="D138" s="61"/>
      <c r="E138" s="57"/>
      <c r="F138" s="59"/>
      <c r="G138" s="61"/>
      <c r="H138" s="57"/>
      <c r="I138" s="59"/>
      <c r="J138" s="61"/>
      <c r="K138" s="64"/>
      <c r="L138" s="68"/>
      <c r="M138" s="44"/>
      <c r="N138" s="44"/>
      <c r="O138" s="44"/>
      <c r="P138" s="130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57"/>
      <c r="C139" s="59"/>
      <c r="D139" s="61"/>
      <c r="E139" s="57"/>
      <c r="F139" s="59"/>
      <c r="G139" s="61"/>
      <c r="H139" s="57"/>
      <c r="I139" s="59"/>
      <c r="J139" s="61"/>
      <c r="K139" s="64"/>
      <c r="L139" s="68"/>
      <c r="M139" s="44"/>
      <c r="N139" s="44"/>
      <c r="O139" s="44"/>
      <c r="P139" s="130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74"/>
      <c r="C140" s="76"/>
      <c r="D140" s="78"/>
      <c r="E140" s="74"/>
      <c r="F140" s="76"/>
      <c r="G140" s="78"/>
      <c r="H140" s="74"/>
      <c r="I140" s="76"/>
      <c r="J140" s="78"/>
      <c r="K140" s="80"/>
      <c r="L140" s="88"/>
      <c r="M140" s="44"/>
      <c r="N140" s="44"/>
      <c r="O140" s="44"/>
      <c r="P140" s="130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3"/>
      <c r="C141" s="83"/>
      <c r="D141" s="85"/>
      <c r="E141" s="83"/>
      <c r="F141" s="83"/>
      <c r="G141" s="85"/>
      <c r="H141" s="83"/>
      <c r="I141" s="83"/>
      <c r="J141" s="85"/>
      <c r="K141" s="85"/>
      <c r="L141" s="88"/>
      <c r="M141" s="44"/>
      <c r="N141" s="44"/>
      <c r="O141" s="44"/>
      <c r="P141" s="130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91"/>
      <c r="C142" s="91"/>
      <c r="D142" s="89"/>
      <c r="E142" s="91"/>
      <c r="F142" s="91"/>
      <c r="G142" s="89"/>
      <c r="H142" s="91"/>
      <c r="I142" s="91"/>
      <c r="J142" s="89"/>
      <c r="K142" s="89"/>
      <c r="L142" s="93"/>
      <c r="M142" s="94"/>
      <c r="N142" s="94"/>
      <c r="O142" s="92"/>
      <c r="P142" s="131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46"/>
      <c r="C143" s="47"/>
      <c r="D143" s="49"/>
      <c r="E143" s="46"/>
      <c r="F143" s="47"/>
      <c r="G143" s="49"/>
      <c r="H143" s="46"/>
      <c r="I143" s="47"/>
      <c r="J143" s="49"/>
      <c r="K143" s="51"/>
      <c r="L143" s="108"/>
      <c r="M143" s="39"/>
      <c r="N143" s="39"/>
      <c r="O143" s="38"/>
      <c r="P143" s="129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57"/>
      <c r="C144" s="59"/>
      <c r="D144" s="61"/>
      <c r="E144" s="57"/>
      <c r="F144" s="59"/>
      <c r="G144" s="61"/>
      <c r="H144" s="57"/>
      <c r="I144" s="59"/>
      <c r="J144" s="61"/>
      <c r="K144" s="64"/>
      <c r="L144" s="68"/>
      <c r="M144" s="44"/>
      <c r="N144" s="44"/>
      <c r="O144" s="44"/>
      <c r="P144" s="130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57"/>
      <c r="C145" s="59"/>
      <c r="D145" s="61"/>
      <c r="E145" s="57"/>
      <c r="F145" s="59"/>
      <c r="G145" s="61"/>
      <c r="H145" s="57"/>
      <c r="I145" s="59"/>
      <c r="J145" s="61"/>
      <c r="K145" s="64"/>
      <c r="L145" s="68"/>
      <c r="M145" s="44"/>
      <c r="N145" s="44"/>
      <c r="O145" s="44"/>
      <c r="P145" s="130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57"/>
      <c r="C146" s="59"/>
      <c r="D146" s="61"/>
      <c r="E146" s="57"/>
      <c r="F146" s="59"/>
      <c r="G146" s="61"/>
      <c r="H146" s="57"/>
      <c r="I146" s="59"/>
      <c r="J146" s="61"/>
      <c r="K146" s="64"/>
      <c r="L146" s="68"/>
      <c r="M146" s="44"/>
      <c r="N146" s="44"/>
      <c r="O146" s="44"/>
      <c r="P146" s="130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74"/>
      <c r="C147" s="76"/>
      <c r="D147" s="78"/>
      <c r="E147" s="74"/>
      <c r="F147" s="76"/>
      <c r="G147" s="78"/>
      <c r="H147" s="74"/>
      <c r="I147" s="76"/>
      <c r="J147" s="78"/>
      <c r="K147" s="80"/>
      <c r="L147" s="88"/>
      <c r="M147" s="44"/>
      <c r="N147" s="44"/>
      <c r="O147" s="44"/>
      <c r="P147" s="130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3"/>
      <c r="C148" s="83"/>
      <c r="D148" s="85"/>
      <c r="E148" s="83"/>
      <c r="F148" s="83"/>
      <c r="G148" s="85"/>
      <c r="H148" s="83"/>
      <c r="I148" s="83"/>
      <c r="J148" s="85"/>
      <c r="K148" s="85"/>
      <c r="L148" s="88"/>
      <c r="M148" s="44"/>
      <c r="N148" s="44"/>
      <c r="O148" s="44"/>
      <c r="P148" s="130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91"/>
      <c r="C149" s="91"/>
      <c r="D149" s="89"/>
      <c r="E149" s="91"/>
      <c r="F149" s="91"/>
      <c r="G149" s="89"/>
      <c r="H149" s="91"/>
      <c r="I149" s="91"/>
      <c r="J149" s="89"/>
      <c r="K149" s="89"/>
      <c r="L149" s="93"/>
      <c r="M149" s="94"/>
      <c r="N149" s="94"/>
      <c r="O149" s="92"/>
      <c r="P149" s="131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46"/>
      <c r="C150" s="47"/>
      <c r="D150" s="49"/>
      <c r="E150" s="46"/>
      <c r="F150" s="47"/>
      <c r="G150" s="49"/>
      <c r="H150" s="46"/>
      <c r="I150" s="47"/>
      <c r="J150" s="49"/>
      <c r="K150" s="51"/>
      <c r="L150" s="108"/>
      <c r="M150" s="39"/>
      <c r="N150" s="39"/>
      <c r="O150" s="38"/>
      <c r="P150" s="129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57"/>
      <c r="C151" s="59"/>
      <c r="D151" s="61"/>
      <c r="E151" s="57"/>
      <c r="F151" s="59"/>
      <c r="G151" s="61"/>
      <c r="H151" s="57"/>
      <c r="I151" s="59"/>
      <c r="J151" s="61"/>
      <c r="K151" s="64"/>
      <c r="L151" s="68"/>
      <c r="M151" s="44"/>
      <c r="N151" s="44"/>
      <c r="O151" s="44"/>
      <c r="P151" s="130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57"/>
      <c r="C152" s="59"/>
      <c r="D152" s="61"/>
      <c r="E152" s="57"/>
      <c r="F152" s="59"/>
      <c r="G152" s="61"/>
      <c r="H152" s="57"/>
      <c r="I152" s="59"/>
      <c r="J152" s="61"/>
      <c r="K152" s="64"/>
      <c r="L152" s="68"/>
      <c r="M152" s="44"/>
      <c r="N152" s="44"/>
      <c r="O152" s="44"/>
      <c r="P152" s="130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57"/>
      <c r="C153" s="59"/>
      <c r="D153" s="61"/>
      <c r="E153" s="57"/>
      <c r="F153" s="59"/>
      <c r="G153" s="61"/>
      <c r="H153" s="57"/>
      <c r="I153" s="59"/>
      <c r="J153" s="61"/>
      <c r="K153" s="64"/>
      <c r="L153" s="68"/>
      <c r="M153" s="44"/>
      <c r="N153" s="44"/>
      <c r="O153" s="44"/>
      <c r="P153" s="130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74"/>
      <c r="C154" s="76"/>
      <c r="D154" s="78"/>
      <c r="E154" s="74"/>
      <c r="F154" s="76"/>
      <c r="G154" s="78"/>
      <c r="H154" s="74"/>
      <c r="I154" s="76"/>
      <c r="J154" s="78"/>
      <c r="K154" s="80"/>
      <c r="L154" s="88"/>
      <c r="M154" s="44"/>
      <c r="N154" s="44"/>
      <c r="O154" s="44"/>
      <c r="P154" s="130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3"/>
      <c r="C155" s="83"/>
      <c r="D155" s="85"/>
      <c r="E155" s="83"/>
      <c r="F155" s="83"/>
      <c r="G155" s="85"/>
      <c r="H155" s="83"/>
      <c r="I155" s="83"/>
      <c r="J155" s="85"/>
      <c r="K155" s="85"/>
      <c r="L155" s="88"/>
      <c r="M155" s="44"/>
      <c r="N155" s="44"/>
      <c r="O155" s="44"/>
      <c r="P155" s="130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91"/>
      <c r="C156" s="91"/>
      <c r="D156" s="89"/>
      <c r="E156" s="91"/>
      <c r="F156" s="91"/>
      <c r="G156" s="89"/>
      <c r="H156" s="91"/>
      <c r="I156" s="91"/>
      <c r="J156" s="89"/>
      <c r="K156" s="89"/>
      <c r="L156" s="93"/>
      <c r="M156" s="94"/>
      <c r="N156" s="94"/>
      <c r="O156" s="92"/>
      <c r="P156" s="131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46"/>
      <c r="C157" s="47"/>
      <c r="D157" s="49"/>
      <c r="E157" s="46"/>
      <c r="F157" s="47"/>
      <c r="G157" s="49"/>
      <c r="H157" s="46"/>
      <c r="I157" s="47"/>
      <c r="J157" s="49"/>
      <c r="K157" s="51"/>
      <c r="L157" s="108"/>
      <c r="M157" s="39"/>
      <c r="N157" s="39"/>
      <c r="O157" s="38"/>
      <c r="P157" s="129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57"/>
      <c r="C158" s="59"/>
      <c r="D158" s="61"/>
      <c r="E158" s="57"/>
      <c r="F158" s="59"/>
      <c r="G158" s="61"/>
      <c r="H158" s="57"/>
      <c r="I158" s="59"/>
      <c r="J158" s="61"/>
      <c r="K158" s="64"/>
      <c r="L158" s="68"/>
      <c r="M158" s="44"/>
      <c r="N158" s="44"/>
      <c r="O158" s="44"/>
      <c r="P158" s="130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57"/>
      <c r="C159" s="59"/>
      <c r="D159" s="61"/>
      <c r="E159" s="57"/>
      <c r="F159" s="59"/>
      <c r="G159" s="61"/>
      <c r="H159" s="57"/>
      <c r="I159" s="59"/>
      <c r="J159" s="61"/>
      <c r="K159" s="64"/>
      <c r="L159" s="68"/>
      <c r="M159" s="44"/>
      <c r="N159" s="44"/>
      <c r="O159" s="44"/>
      <c r="P159" s="130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57"/>
      <c r="C160" s="59"/>
      <c r="D160" s="61"/>
      <c r="E160" s="57"/>
      <c r="F160" s="59"/>
      <c r="G160" s="61"/>
      <c r="H160" s="57"/>
      <c r="I160" s="59"/>
      <c r="J160" s="61"/>
      <c r="K160" s="64"/>
      <c r="L160" s="68"/>
      <c r="M160" s="44"/>
      <c r="N160" s="44"/>
      <c r="O160" s="44"/>
      <c r="P160" s="130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74"/>
      <c r="C161" s="76"/>
      <c r="D161" s="78"/>
      <c r="E161" s="74"/>
      <c r="F161" s="76"/>
      <c r="G161" s="78"/>
      <c r="H161" s="74"/>
      <c r="I161" s="76"/>
      <c r="J161" s="78"/>
      <c r="K161" s="80"/>
      <c r="L161" s="88"/>
      <c r="M161" s="44"/>
      <c r="N161" s="44"/>
      <c r="O161" s="44"/>
      <c r="P161" s="130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3"/>
      <c r="C162" s="83"/>
      <c r="D162" s="85"/>
      <c r="E162" s="83"/>
      <c r="F162" s="83"/>
      <c r="G162" s="85"/>
      <c r="H162" s="83"/>
      <c r="I162" s="83"/>
      <c r="J162" s="85"/>
      <c r="K162" s="85"/>
      <c r="L162" s="88"/>
      <c r="M162" s="44"/>
      <c r="N162" s="44"/>
      <c r="O162" s="44"/>
      <c r="P162" s="130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91"/>
      <c r="C163" s="91"/>
      <c r="D163" s="89"/>
      <c r="E163" s="91"/>
      <c r="F163" s="91"/>
      <c r="G163" s="89"/>
      <c r="H163" s="91"/>
      <c r="I163" s="91"/>
      <c r="J163" s="89"/>
      <c r="K163" s="89"/>
      <c r="L163" s="93"/>
      <c r="M163" s="94"/>
      <c r="N163" s="94"/>
      <c r="O163" s="92"/>
      <c r="P163" s="131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46"/>
      <c r="C164" s="47"/>
      <c r="D164" s="49"/>
      <c r="E164" s="46"/>
      <c r="F164" s="47"/>
      <c r="G164" s="49"/>
      <c r="H164" s="46"/>
      <c r="I164" s="47"/>
      <c r="J164" s="49"/>
      <c r="K164" s="51"/>
      <c r="L164" s="108"/>
      <c r="M164" s="39"/>
      <c r="N164" s="39"/>
      <c r="O164" s="38"/>
      <c r="P164" s="129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57"/>
      <c r="C165" s="59"/>
      <c r="D165" s="61"/>
      <c r="E165" s="57"/>
      <c r="F165" s="59"/>
      <c r="G165" s="61"/>
      <c r="H165" s="57"/>
      <c r="I165" s="59"/>
      <c r="J165" s="61"/>
      <c r="K165" s="64"/>
      <c r="L165" s="68"/>
      <c r="M165" s="44"/>
      <c r="N165" s="44"/>
      <c r="O165" s="44"/>
      <c r="P165" s="130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57"/>
      <c r="C166" s="59"/>
      <c r="D166" s="61"/>
      <c r="E166" s="57"/>
      <c r="F166" s="59"/>
      <c r="G166" s="61"/>
      <c r="H166" s="57"/>
      <c r="I166" s="59"/>
      <c r="J166" s="61"/>
      <c r="K166" s="64"/>
      <c r="L166" s="68"/>
      <c r="M166" s="44"/>
      <c r="N166" s="44"/>
      <c r="O166" s="44"/>
      <c r="P166" s="130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57"/>
      <c r="C167" s="59"/>
      <c r="D167" s="61"/>
      <c r="E167" s="57"/>
      <c r="F167" s="59"/>
      <c r="G167" s="61"/>
      <c r="H167" s="57"/>
      <c r="I167" s="59"/>
      <c r="J167" s="61"/>
      <c r="K167" s="64"/>
      <c r="L167" s="68"/>
      <c r="M167" s="44"/>
      <c r="N167" s="44"/>
      <c r="O167" s="44"/>
      <c r="P167" s="130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74"/>
      <c r="C168" s="76"/>
      <c r="D168" s="78"/>
      <c r="E168" s="74"/>
      <c r="F168" s="76"/>
      <c r="G168" s="78"/>
      <c r="H168" s="74"/>
      <c r="I168" s="76"/>
      <c r="J168" s="78"/>
      <c r="K168" s="80"/>
      <c r="L168" s="88"/>
      <c r="M168" s="44"/>
      <c r="N168" s="44"/>
      <c r="O168" s="44"/>
      <c r="P168" s="130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3"/>
      <c r="C169" s="83"/>
      <c r="D169" s="85"/>
      <c r="E169" s="83"/>
      <c r="F169" s="83"/>
      <c r="G169" s="85"/>
      <c r="H169" s="83"/>
      <c r="I169" s="83"/>
      <c r="J169" s="85"/>
      <c r="K169" s="85"/>
      <c r="L169" s="88"/>
      <c r="M169" s="44"/>
      <c r="N169" s="44"/>
      <c r="O169" s="44"/>
      <c r="P169" s="130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91"/>
      <c r="C170" s="91"/>
      <c r="D170" s="89"/>
      <c r="E170" s="91"/>
      <c r="F170" s="91"/>
      <c r="G170" s="89"/>
      <c r="H170" s="91"/>
      <c r="I170" s="91"/>
      <c r="J170" s="89"/>
      <c r="K170" s="89"/>
      <c r="L170" s="93"/>
      <c r="M170" s="94"/>
      <c r="N170" s="94"/>
      <c r="O170" s="92"/>
      <c r="P170" s="131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46"/>
      <c r="C171" s="47"/>
      <c r="D171" s="49"/>
      <c r="E171" s="46"/>
      <c r="F171" s="47"/>
      <c r="G171" s="49"/>
      <c r="H171" s="46"/>
      <c r="I171" s="47"/>
      <c r="J171" s="49"/>
      <c r="K171" s="51"/>
      <c r="L171" s="108"/>
      <c r="M171" s="39"/>
      <c r="N171" s="39"/>
      <c r="O171" s="38"/>
      <c r="P171" s="129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57"/>
      <c r="C172" s="59"/>
      <c r="D172" s="61"/>
      <c r="E172" s="57"/>
      <c r="F172" s="59"/>
      <c r="G172" s="61"/>
      <c r="H172" s="57"/>
      <c r="I172" s="59"/>
      <c r="J172" s="61"/>
      <c r="K172" s="64"/>
      <c r="L172" s="68"/>
      <c r="M172" s="44"/>
      <c r="N172" s="44"/>
      <c r="O172" s="44"/>
      <c r="P172" s="130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57"/>
      <c r="C173" s="59"/>
      <c r="D173" s="61"/>
      <c r="E173" s="57"/>
      <c r="F173" s="59"/>
      <c r="G173" s="61"/>
      <c r="H173" s="57"/>
      <c r="I173" s="59"/>
      <c r="J173" s="61"/>
      <c r="K173" s="64"/>
      <c r="L173" s="68"/>
      <c r="M173" s="44"/>
      <c r="N173" s="44"/>
      <c r="O173" s="44"/>
      <c r="P173" s="130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57"/>
      <c r="C174" s="59"/>
      <c r="D174" s="61"/>
      <c r="E174" s="57"/>
      <c r="F174" s="59"/>
      <c r="G174" s="61"/>
      <c r="H174" s="57"/>
      <c r="I174" s="59"/>
      <c r="J174" s="61"/>
      <c r="K174" s="64"/>
      <c r="L174" s="68"/>
      <c r="M174" s="44"/>
      <c r="N174" s="44"/>
      <c r="O174" s="44"/>
      <c r="P174" s="130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74"/>
      <c r="C175" s="76"/>
      <c r="D175" s="78"/>
      <c r="E175" s="74"/>
      <c r="F175" s="76"/>
      <c r="G175" s="78"/>
      <c r="H175" s="74"/>
      <c r="I175" s="76"/>
      <c r="J175" s="78"/>
      <c r="K175" s="80"/>
      <c r="L175" s="88"/>
      <c r="M175" s="44"/>
      <c r="N175" s="44"/>
      <c r="O175" s="44"/>
      <c r="P175" s="130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3"/>
      <c r="C176" s="83"/>
      <c r="D176" s="85"/>
      <c r="E176" s="83"/>
      <c r="F176" s="83"/>
      <c r="G176" s="85"/>
      <c r="H176" s="83"/>
      <c r="I176" s="83"/>
      <c r="J176" s="85"/>
      <c r="K176" s="85"/>
      <c r="L176" s="88"/>
      <c r="M176" s="44"/>
      <c r="N176" s="44"/>
      <c r="O176" s="44"/>
      <c r="P176" s="130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91"/>
      <c r="C177" s="91"/>
      <c r="D177" s="89"/>
      <c r="E177" s="91"/>
      <c r="F177" s="91"/>
      <c r="G177" s="89"/>
      <c r="H177" s="91"/>
      <c r="I177" s="91"/>
      <c r="J177" s="89"/>
      <c r="K177" s="89"/>
      <c r="L177" s="93"/>
      <c r="M177" s="94"/>
      <c r="N177" s="94"/>
      <c r="O177" s="92"/>
      <c r="P177" s="131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46"/>
      <c r="C178" s="47"/>
      <c r="D178" s="49"/>
      <c r="E178" s="46"/>
      <c r="F178" s="47"/>
      <c r="G178" s="49"/>
      <c r="H178" s="46"/>
      <c r="I178" s="47"/>
      <c r="J178" s="49"/>
      <c r="K178" s="51"/>
      <c r="L178" s="108"/>
      <c r="M178" s="39"/>
      <c r="N178" s="39"/>
      <c r="O178" s="38"/>
      <c r="P178" s="129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57"/>
      <c r="C179" s="59"/>
      <c r="D179" s="61"/>
      <c r="E179" s="57"/>
      <c r="F179" s="59"/>
      <c r="G179" s="61"/>
      <c r="H179" s="57"/>
      <c r="I179" s="59"/>
      <c r="J179" s="61"/>
      <c r="K179" s="64"/>
      <c r="L179" s="68"/>
      <c r="M179" s="44"/>
      <c r="N179" s="44"/>
      <c r="O179" s="44"/>
      <c r="P179" s="130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57"/>
      <c r="C180" s="59"/>
      <c r="D180" s="61"/>
      <c r="E180" s="57"/>
      <c r="F180" s="59"/>
      <c r="G180" s="61"/>
      <c r="H180" s="57"/>
      <c r="I180" s="59"/>
      <c r="J180" s="61"/>
      <c r="K180" s="64"/>
      <c r="L180" s="68"/>
      <c r="M180" s="44"/>
      <c r="N180" s="44"/>
      <c r="O180" s="44"/>
      <c r="P180" s="130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57"/>
      <c r="C181" s="59"/>
      <c r="D181" s="61"/>
      <c r="E181" s="57"/>
      <c r="F181" s="59"/>
      <c r="G181" s="61"/>
      <c r="H181" s="57"/>
      <c r="I181" s="59"/>
      <c r="J181" s="61"/>
      <c r="K181" s="64"/>
      <c r="L181" s="68"/>
      <c r="M181" s="44"/>
      <c r="N181" s="44"/>
      <c r="O181" s="44"/>
      <c r="P181" s="130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74"/>
      <c r="C182" s="76"/>
      <c r="D182" s="78"/>
      <c r="E182" s="74"/>
      <c r="F182" s="76"/>
      <c r="G182" s="78"/>
      <c r="H182" s="74"/>
      <c r="I182" s="76"/>
      <c r="J182" s="78"/>
      <c r="K182" s="80"/>
      <c r="L182" s="88"/>
      <c r="M182" s="44"/>
      <c r="N182" s="44"/>
      <c r="O182" s="44"/>
      <c r="P182" s="130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3"/>
      <c r="C183" s="83"/>
      <c r="D183" s="85"/>
      <c r="E183" s="83"/>
      <c r="F183" s="83"/>
      <c r="G183" s="85"/>
      <c r="H183" s="83"/>
      <c r="I183" s="83"/>
      <c r="J183" s="85"/>
      <c r="K183" s="85"/>
      <c r="L183" s="88"/>
      <c r="M183" s="44"/>
      <c r="N183" s="44"/>
      <c r="O183" s="44"/>
      <c r="P183" s="130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91"/>
      <c r="C184" s="91"/>
      <c r="D184" s="89"/>
      <c r="E184" s="91"/>
      <c r="F184" s="91"/>
      <c r="G184" s="89"/>
      <c r="H184" s="91"/>
      <c r="I184" s="91"/>
      <c r="J184" s="89"/>
      <c r="K184" s="89"/>
      <c r="L184" s="93"/>
      <c r="M184" s="94"/>
      <c r="N184" s="94"/>
      <c r="O184" s="92"/>
      <c r="P184" s="131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46"/>
      <c r="C185" s="47"/>
      <c r="D185" s="49"/>
      <c r="E185" s="46"/>
      <c r="F185" s="47"/>
      <c r="G185" s="49"/>
      <c r="H185" s="46"/>
      <c r="I185" s="47"/>
      <c r="J185" s="49"/>
      <c r="K185" s="51"/>
      <c r="L185" s="108"/>
      <c r="M185" s="39"/>
      <c r="N185" s="39"/>
      <c r="O185" s="38"/>
      <c r="P185" s="129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57"/>
      <c r="C186" s="59"/>
      <c r="D186" s="61"/>
      <c r="E186" s="57"/>
      <c r="F186" s="59"/>
      <c r="G186" s="61"/>
      <c r="H186" s="57"/>
      <c r="I186" s="59"/>
      <c r="J186" s="61"/>
      <c r="K186" s="64"/>
      <c r="L186" s="68"/>
      <c r="M186" s="44"/>
      <c r="N186" s="44"/>
      <c r="O186" s="44"/>
      <c r="P186" s="130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57"/>
      <c r="C187" s="59"/>
      <c r="D187" s="61"/>
      <c r="E187" s="57"/>
      <c r="F187" s="59"/>
      <c r="G187" s="61"/>
      <c r="H187" s="57"/>
      <c r="I187" s="59"/>
      <c r="J187" s="61"/>
      <c r="K187" s="64"/>
      <c r="L187" s="68"/>
      <c r="M187" s="44"/>
      <c r="N187" s="44"/>
      <c r="O187" s="44"/>
      <c r="P187" s="130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57"/>
      <c r="C188" s="59"/>
      <c r="D188" s="61"/>
      <c r="E188" s="57"/>
      <c r="F188" s="59"/>
      <c r="G188" s="61"/>
      <c r="H188" s="57"/>
      <c r="I188" s="59"/>
      <c r="J188" s="61"/>
      <c r="K188" s="64"/>
      <c r="L188" s="68"/>
      <c r="M188" s="44"/>
      <c r="N188" s="44"/>
      <c r="O188" s="44"/>
      <c r="P188" s="130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74"/>
      <c r="C189" s="76"/>
      <c r="D189" s="78"/>
      <c r="E189" s="74"/>
      <c r="F189" s="76"/>
      <c r="G189" s="78"/>
      <c r="H189" s="74"/>
      <c r="I189" s="76"/>
      <c r="J189" s="78"/>
      <c r="K189" s="80"/>
      <c r="L189" s="88"/>
      <c r="M189" s="44"/>
      <c r="N189" s="44"/>
      <c r="O189" s="44"/>
      <c r="P189" s="130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3"/>
      <c r="C190" s="83"/>
      <c r="D190" s="85"/>
      <c r="E190" s="83"/>
      <c r="F190" s="83"/>
      <c r="G190" s="85"/>
      <c r="H190" s="83"/>
      <c r="I190" s="83"/>
      <c r="J190" s="85"/>
      <c r="K190" s="85"/>
      <c r="L190" s="88"/>
      <c r="M190" s="44"/>
      <c r="N190" s="44"/>
      <c r="O190" s="44"/>
      <c r="P190" s="130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91"/>
      <c r="C191" s="91"/>
      <c r="D191" s="89"/>
      <c r="E191" s="91"/>
      <c r="F191" s="91"/>
      <c r="G191" s="89"/>
      <c r="H191" s="91"/>
      <c r="I191" s="91"/>
      <c r="J191" s="89"/>
      <c r="K191" s="89"/>
      <c r="L191" s="93"/>
      <c r="M191" s="94"/>
      <c r="N191" s="94"/>
      <c r="O191" s="92"/>
      <c r="P191" s="131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46"/>
      <c r="C192" s="47"/>
      <c r="D192" s="49"/>
      <c r="E192" s="46"/>
      <c r="F192" s="47"/>
      <c r="G192" s="49"/>
      <c r="H192" s="46"/>
      <c r="I192" s="47"/>
      <c r="J192" s="49"/>
      <c r="K192" s="51"/>
      <c r="L192" s="108"/>
      <c r="M192" s="39"/>
      <c r="N192" s="39"/>
      <c r="O192" s="38"/>
      <c r="P192" s="129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57"/>
      <c r="C193" s="59"/>
      <c r="D193" s="61"/>
      <c r="E193" s="57"/>
      <c r="F193" s="59"/>
      <c r="G193" s="61"/>
      <c r="H193" s="57"/>
      <c r="I193" s="59"/>
      <c r="J193" s="61"/>
      <c r="K193" s="64"/>
      <c r="L193" s="68"/>
      <c r="M193" s="44"/>
      <c r="N193" s="44"/>
      <c r="O193" s="44"/>
      <c r="P193" s="130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57"/>
      <c r="C194" s="59"/>
      <c r="D194" s="61"/>
      <c r="E194" s="57"/>
      <c r="F194" s="59"/>
      <c r="G194" s="61"/>
      <c r="H194" s="57"/>
      <c r="I194" s="59"/>
      <c r="J194" s="61"/>
      <c r="K194" s="64"/>
      <c r="L194" s="68"/>
      <c r="M194" s="44"/>
      <c r="N194" s="44"/>
      <c r="O194" s="44"/>
      <c r="P194" s="130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57"/>
      <c r="C195" s="59"/>
      <c r="D195" s="61"/>
      <c r="E195" s="57"/>
      <c r="F195" s="59"/>
      <c r="G195" s="61"/>
      <c r="H195" s="57"/>
      <c r="I195" s="59"/>
      <c r="J195" s="61"/>
      <c r="K195" s="64"/>
      <c r="L195" s="68"/>
      <c r="M195" s="44"/>
      <c r="N195" s="44"/>
      <c r="O195" s="44"/>
      <c r="P195" s="130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74"/>
      <c r="C196" s="76"/>
      <c r="D196" s="78"/>
      <c r="E196" s="74"/>
      <c r="F196" s="76"/>
      <c r="G196" s="78"/>
      <c r="H196" s="74"/>
      <c r="I196" s="76"/>
      <c r="J196" s="78"/>
      <c r="K196" s="80"/>
      <c r="L196" s="88"/>
      <c r="M196" s="44"/>
      <c r="N196" s="44"/>
      <c r="O196" s="44"/>
      <c r="P196" s="130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3"/>
      <c r="C197" s="83"/>
      <c r="D197" s="85"/>
      <c r="E197" s="83"/>
      <c r="F197" s="83"/>
      <c r="G197" s="85"/>
      <c r="H197" s="83"/>
      <c r="I197" s="83"/>
      <c r="J197" s="85"/>
      <c r="K197" s="85"/>
      <c r="L197" s="88"/>
      <c r="M197" s="44"/>
      <c r="N197" s="44"/>
      <c r="O197" s="44"/>
      <c r="P197" s="130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91"/>
      <c r="C198" s="91"/>
      <c r="D198" s="89"/>
      <c r="E198" s="91"/>
      <c r="F198" s="91"/>
      <c r="G198" s="89"/>
      <c r="H198" s="91"/>
      <c r="I198" s="91"/>
      <c r="J198" s="89"/>
      <c r="K198" s="89"/>
      <c r="L198" s="93"/>
      <c r="M198" s="94"/>
      <c r="N198" s="94"/>
      <c r="O198" s="92"/>
      <c r="P198" s="131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46"/>
      <c r="C199" s="47"/>
      <c r="D199" s="49"/>
      <c r="E199" s="46"/>
      <c r="F199" s="47"/>
      <c r="G199" s="49"/>
      <c r="H199" s="46"/>
      <c r="I199" s="47"/>
      <c r="J199" s="49"/>
      <c r="K199" s="51"/>
      <c r="L199" s="108"/>
      <c r="M199" s="39"/>
      <c r="N199" s="39"/>
      <c r="O199" s="38"/>
      <c r="P199" s="129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57"/>
      <c r="C200" s="59"/>
      <c r="D200" s="61"/>
      <c r="E200" s="57"/>
      <c r="F200" s="59"/>
      <c r="G200" s="61"/>
      <c r="H200" s="57"/>
      <c r="I200" s="59"/>
      <c r="J200" s="61"/>
      <c r="K200" s="64"/>
      <c r="L200" s="68"/>
      <c r="M200" s="44"/>
      <c r="N200" s="44"/>
      <c r="O200" s="44"/>
      <c r="P200" s="130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57"/>
      <c r="C201" s="59"/>
      <c r="D201" s="61"/>
      <c r="E201" s="57"/>
      <c r="F201" s="59"/>
      <c r="G201" s="61"/>
      <c r="H201" s="57"/>
      <c r="I201" s="59"/>
      <c r="J201" s="61"/>
      <c r="K201" s="64"/>
      <c r="L201" s="68"/>
      <c r="M201" s="44"/>
      <c r="N201" s="44"/>
      <c r="O201" s="44"/>
      <c r="P201" s="130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57"/>
      <c r="C202" s="59"/>
      <c r="D202" s="61"/>
      <c r="E202" s="57"/>
      <c r="F202" s="59"/>
      <c r="G202" s="61"/>
      <c r="H202" s="57"/>
      <c r="I202" s="59"/>
      <c r="J202" s="61"/>
      <c r="K202" s="64"/>
      <c r="L202" s="68"/>
      <c r="M202" s="44"/>
      <c r="N202" s="44"/>
      <c r="O202" s="44"/>
      <c r="P202" s="130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74"/>
      <c r="C203" s="76"/>
      <c r="D203" s="78"/>
      <c r="E203" s="74"/>
      <c r="F203" s="76"/>
      <c r="G203" s="78"/>
      <c r="H203" s="74"/>
      <c r="I203" s="76"/>
      <c r="J203" s="78"/>
      <c r="K203" s="80"/>
      <c r="L203" s="88"/>
      <c r="M203" s="44"/>
      <c r="N203" s="44"/>
      <c r="O203" s="44"/>
      <c r="P203" s="130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3"/>
      <c r="C204" s="83"/>
      <c r="D204" s="85"/>
      <c r="E204" s="83"/>
      <c r="F204" s="83"/>
      <c r="G204" s="85"/>
      <c r="H204" s="83"/>
      <c r="I204" s="83"/>
      <c r="J204" s="85"/>
      <c r="K204" s="85"/>
      <c r="L204" s="88"/>
      <c r="M204" s="44"/>
      <c r="N204" s="44"/>
      <c r="O204" s="44"/>
      <c r="P204" s="130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91"/>
      <c r="C205" s="91"/>
      <c r="D205" s="89"/>
      <c r="E205" s="91"/>
      <c r="F205" s="91"/>
      <c r="G205" s="89"/>
      <c r="H205" s="91"/>
      <c r="I205" s="91"/>
      <c r="J205" s="89"/>
      <c r="K205" s="89"/>
      <c r="L205" s="93"/>
      <c r="M205" s="94"/>
      <c r="N205" s="94"/>
      <c r="O205" s="92"/>
      <c r="P205" s="131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46"/>
      <c r="C206" s="47"/>
      <c r="D206" s="49"/>
      <c r="E206" s="46"/>
      <c r="F206" s="47"/>
      <c r="G206" s="49"/>
      <c r="H206" s="46"/>
      <c r="I206" s="47"/>
      <c r="J206" s="49"/>
      <c r="K206" s="51"/>
      <c r="L206" s="108"/>
      <c r="M206" s="39"/>
      <c r="N206" s="39"/>
      <c r="O206" s="38"/>
      <c r="P206" s="129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57"/>
      <c r="C207" s="59"/>
      <c r="D207" s="61"/>
      <c r="E207" s="57"/>
      <c r="F207" s="59"/>
      <c r="G207" s="61"/>
      <c r="H207" s="57"/>
      <c r="I207" s="59"/>
      <c r="J207" s="61"/>
      <c r="K207" s="64"/>
      <c r="L207" s="68"/>
      <c r="M207" s="44"/>
      <c r="N207" s="44"/>
      <c r="O207" s="44"/>
      <c r="P207" s="130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57"/>
      <c r="C208" s="59"/>
      <c r="D208" s="61"/>
      <c r="E208" s="57"/>
      <c r="F208" s="59"/>
      <c r="G208" s="61"/>
      <c r="H208" s="57"/>
      <c r="I208" s="59"/>
      <c r="J208" s="61"/>
      <c r="K208" s="64"/>
      <c r="L208" s="68"/>
      <c r="M208" s="44"/>
      <c r="N208" s="44"/>
      <c r="O208" s="44"/>
      <c r="P208" s="130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57"/>
      <c r="C209" s="59"/>
      <c r="D209" s="61"/>
      <c r="E209" s="57"/>
      <c r="F209" s="59"/>
      <c r="G209" s="61"/>
      <c r="H209" s="57"/>
      <c r="I209" s="59"/>
      <c r="J209" s="61"/>
      <c r="K209" s="64"/>
      <c r="L209" s="68"/>
      <c r="M209" s="44"/>
      <c r="N209" s="44"/>
      <c r="O209" s="44"/>
      <c r="P209" s="130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74"/>
      <c r="C210" s="76"/>
      <c r="D210" s="78"/>
      <c r="E210" s="74"/>
      <c r="F210" s="76"/>
      <c r="G210" s="78"/>
      <c r="H210" s="74"/>
      <c r="I210" s="76"/>
      <c r="J210" s="78"/>
      <c r="K210" s="80"/>
      <c r="L210" s="88"/>
      <c r="M210" s="44"/>
      <c r="N210" s="44"/>
      <c r="O210" s="44"/>
      <c r="P210" s="130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3"/>
      <c r="C211" s="83"/>
      <c r="D211" s="85"/>
      <c r="E211" s="83"/>
      <c r="F211" s="83"/>
      <c r="G211" s="85"/>
      <c r="H211" s="83"/>
      <c r="I211" s="83"/>
      <c r="J211" s="85"/>
      <c r="K211" s="85"/>
      <c r="L211" s="88"/>
      <c r="M211" s="44"/>
      <c r="N211" s="44"/>
      <c r="O211" s="44"/>
      <c r="P211" s="130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91"/>
      <c r="C212" s="91"/>
      <c r="D212" s="89"/>
      <c r="E212" s="91"/>
      <c r="F212" s="91"/>
      <c r="G212" s="89"/>
      <c r="H212" s="91"/>
      <c r="I212" s="91"/>
      <c r="J212" s="89"/>
      <c r="K212" s="89"/>
      <c r="L212" s="93"/>
      <c r="M212" s="94"/>
      <c r="N212" s="94"/>
      <c r="O212" s="92"/>
      <c r="P212" s="131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46"/>
      <c r="C213" s="47"/>
      <c r="D213" s="49"/>
      <c r="E213" s="46"/>
      <c r="F213" s="47"/>
      <c r="G213" s="49"/>
      <c r="H213" s="46"/>
      <c r="I213" s="47"/>
      <c r="J213" s="49"/>
      <c r="K213" s="51"/>
      <c r="L213" s="108"/>
      <c r="M213" s="39"/>
      <c r="N213" s="39"/>
      <c r="O213" s="38"/>
      <c r="P213" s="129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57"/>
      <c r="C214" s="59"/>
      <c r="D214" s="61"/>
      <c r="E214" s="57"/>
      <c r="F214" s="59"/>
      <c r="G214" s="61"/>
      <c r="H214" s="57"/>
      <c r="I214" s="59"/>
      <c r="J214" s="61"/>
      <c r="K214" s="64"/>
      <c r="L214" s="68"/>
      <c r="M214" s="44"/>
      <c r="N214" s="44"/>
      <c r="O214" s="44"/>
      <c r="P214" s="130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57"/>
      <c r="C215" s="59"/>
      <c r="D215" s="61"/>
      <c r="E215" s="57"/>
      <c r="F215" s="59"/>
      <c r="G215" s="61"/>
      <c r="H215" s="57"/>
      <c r="I215" s="59"/>
      <c r="J215" s="61"/>
      <c r="K215" s="64"/>
      <c r="L215" s="68"/>
      <c r="M215" s="44"/>
      <c r="N215" s="44"/>
      <c r="O215" s="44"/>
      <c r="P215" s="130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57"/>
      <c r="C216" s="59"/>
      <c r="D216" s="61"/>
      <c r="E216" s="57"/>
      <c r="F216" s="59"/>
      <c r="G216" s="61"/>
      <c r="H216" s="57"/>
      <c r="I216" s="59"/>
      <c r="J216" s="61"/>
      <c r="K216" s="64"/>
      <c r="L216" s="68"/>
      <c r="M216" s="44"/>
      <c r="N216" s="44"/>
      <c r="O216" s="44"/>
      <c r="P216" s="130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74"/>
      <c r="C217" s="76"/>
      <c r="D217" s="78"/>
      <c r="E217" s="74"/>
      <c r="F217" s="76"/>
      <c r="G217" s="78"/>
      <c r="H217" s="74"/>
      <c r="I217" s="76"/>
      <c r="J217" s="78"/>
      <c r="K217" s="80"/>
      <c r="L217" s="88"/>
      <c r="M217" s="44"/>
      <c r="N217" s="44"/>
      <c r="O217" s="44"/>
      <c r="P217" s="130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3"/>
      <c r="C218" s="83"/>
      <c r="D218" s="85"/>
      <c r="E218" s="83"/>
      <c r="F218" s="83"/>
      <c r="G218" s="85"/>
      <c r="H218" s="83"/>
      <c r="I218" s="83"/>
      <c r="J218" s="85"/>
      <c r="K218" s="85"/>
      <c r="L218" s="88"/>
      <c r="M218" s="44"/>
      <c r="N218" s="44"/>
      <c r="O218" s="44"/>
      <c r="P218" s="130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91"/>
      <c r="C219" s="91"/>
      <c r="D219" s="89"/>
      <c r="E219" s="91"/>
      <c r="F219" s="91"/>
      <c r="G219" s="89"/>
      <c r="H219" s="91"/>
      <c r="I219" s="91"/>
      <c r="J219" s="89"/>
      <c r="K219" s="89"/>
      <c r="L219" s="93"/>
      <c r="M219" s="94"/>
      <c r="N219" s="94"/>
      <c r="O219" s="92"/>
      <c r="P219" s="131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46"/>
      <c r="C220" s="47"/>
      <c r="D220" s="49"/>
      <c r="E220" s="46"/>
      <c r="F220" s="47"/>
      <c r="G220" s="49"/>
      <c r="H220" s="46"/>
      <c r="I220" s="47"/>
      <c r="J220" s="49"/>
      <c r="K220" s="51"/>
      <c r="L220" s="108"/>
      <c r="M220" s="39"/>
      <c r="N220" s="39"/>
      <c r="O220" s="38"/>
      <c r="P220" s="129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57"/>
      <c r="C221" s="59"/>
      <c r="D221" s="61"/>
      <c r="E221" s="57"/>
      <c r="F221" s="59"/>
      <c r="G221" s="61"/>
      <c r="H221" s="57"/>
      <c r="I221" s="59"/>
      <c r="J221" s="61"/>
      <c r="K221" s="64"/>
      <c r="L221" s="68"/>
      <c r="M221" s="44"/>
      <c r="N221" s="44"/>
      <c r="O221" s="44"/>
      <c r="P221" s="130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57"/>
      <c r="C222" s="59"/>
      <c r="D222" s="61"/>
      <c r="E222" s="57"/>
      <c r="F222" s="59"/>
      <c r="G222" s="61"/>
      <c r="H222" s="57"/>
      <c r="I222" s="59"/>
      <c r="J222" s="61"/>
      <c r="K222" s="64"/>
      <c r="L222" s="68"/>
      <c r="M222" s="44"/>
      <c r="N222" s="44"/>
      <c r="O222" s="44"/>
      <c r="P222" s="130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57"/>
      <c r="C223" s="59"/>
      <c r="D223" s="61"/>
      <c r="E223" s="57"/>
      <c r="F223" s="59"/>
      <c r="G223" s="61"/>
      <c r="H223" s="57"/>
      <c r="I223" s="59"/>
      <c r="J223" s="61"/>
      <c r="K223" s="64"/>
      <c r="L223" s="68"/>
      <c r="M223" s="44"/>
      <c r="N223" s="44"/>
      <c r="O223" s="44"/>
      <c r="P223" s="130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74"/>
      <c r="C224" s="76"/>
      <c r="D224" s="78"/>
      <c r="E224" s="74"/>
      <c r="F224" s="76"/>
      <c r="G224" s="78"/>
      <c r="H224" s="74"/>
      <c r="I224" s="76"/>
      <c r="J224" s="78"/>
      <c r="K224" s="80"/>
      <c r="L224" s="88"/>
      <c r="M224" s="44"/>
      <c r="N224" s="44"/>
      <c r="O224" s="44"/>
      <c r="P224" s="130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3"/>
      <c r="C225" s="83"/>
      <c r="D225" s="85"/>
      <c r="E225" s="83"/>
      <c r="F225" s="83"/>
      <c r="G225" s="85"/>
      <c r="H225" s="83"/>
      <c r="I225" s="83"/>
      <c r="J225" s="85"/>
      <c r="K225" s="85"/>
      <c r="L225" s="88"/>
      <c r="M225" s="44"/>
      <c r="N225" s="44"/>
      <c r="O225" s="44"/>
      <c r="P225" s="130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91"/>
      <c r="C226" s="91"/>
      <c r="D226" s="89"/>
      <c r="E226" s="91"/>
      <c r="F226" s="91"/>
      <c r="G226" s="89"/>
      <c r="H226" s="91"/>
      <c r="I226" s="91"/>
      <c r="J226" s="89"/>
      <c r="K226" s="89"/>
      <c r="L226" s="93"/>
      <c r="M226" s="94"/>
      <c r="N226" s="94"/>
      <c r="O226" s="92"/>
      <c r="P226" s="131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46"/>
      <c r="C227" s="47"/>
      <c r="D227" s="49"/>
      <c r="E227" s="46"/>
      <c r="F227" s="47"/>
      <c r="G227" s="49"/>
      <c r="H227" s="46"/>
      <c r="I227" s="47"/>
      <c r="J227" s="49"/>
      <c r="K227" s="51"/>
      <c r="L227" s="108"/>
      <c r="M227" s="39"/>
      <c r="N227" s="39"/>
      <c r="O227" s="38"/>
      <c r="P227" s="129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57"/>
      <c r="C228" s="59"/>
      <c r="D228" s="61"/>
      <c r="E228" s="57"/>
      <c r="F228" s="59"/>
      <c r="G228" s="61"/>
      <c r="H228" s="57"/>
      <c r="I228" s="59"/>
      <c r="J228" s="61"/>
      <c r="K228" s="64"/>
      <c r="L228" s="68"/>
      <c r="M228" s="44"/>
      <c r="N228" s="44"/>
      <c r="O228" s="44"/>
      <c r="P228" s="130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57"/>
      <c r="C229" s="59"/>
      <c r="D229" s="61"/>
      <c r="E229" s="57"/>
      <c r="F229" s="59"/>
      <c r="G229" s="61"/>
      <c r="H229" s="57"/>
      <c r="I229" s="59"/>
      <c r="J229" s="61"/>
      <c r="K229" s="64"/>
      <c r="L229" s="68"/>
      <c r="M229" s="44"/>
      <c r="N229" s="44"/>
      <c r="O229" s="44"/>
      <c r="P229" s="130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57"/>
      <c r="C230" s="59"/>
      <c r="D230" s="61"/>
      <c r="E230" s="57"/>
      <c r="F230" s="59"/>
      <c r="G230" s="61"/>
      <c r="H230" s="57"/>
      <c r="I230" s="59"/>
      <c r="J230" s="61"/>
      <c r="K230" s="64"/>
      <c r="L230" s="68"/>
      <c r="M230" s="44"/>
      <c r="N230" s="44"/>
      <c r="O230" s="44"/>
      <c r="P230" s="130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74"/>
      <c r="C231" s="76"/>
      <c r="D231" s="78"/>
      <c r="E231" s="74"/>
      <c r="F231" s="76"/>
      <c r="G231" s="78"/>
      <c r="H231" s="74"/>
      <c r="I231" s="76"/>
      <c r="J231" s="78"/>
      <c r="K231" s="80"/>
      <c r="L231" s="88"/>
      <c r="M231" s="44"/>
      <c r="N231" s="44"/>
      <c r="O231" s="44"/>
      <c r="P231" s="130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3"/>
      <c r="C232" s="83"/>
      <c r="D232" s="85"/>
      <c r="E232" s="83"/>
      <c r="F232" s="83"/>
      <c r="G232" s="85"/>
      <c r="H232" s="83"/>
      <c r="I232" s="83"/>
      <c r="J232" s="85"/>
      <c r="K232" s="85"/>
      <c r="L232" s="88"/>
      <c r="M232" s="44"/>
      <c r="N232" s="44"/>
      <c r="O232" s="44"/>
      <c r="P232" s="130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91"/>
      <c r="C233" s="91"/>
      <c r="D233" s="89"/>
      <c r="E233" s="91"/>
      <c r="F233" s="91"/>
      <c r="G233" s="89"/>
      <c r="H233" s="91"/>
      <c r="I233" s="91"/>
      <c r="J233" s="89"/>
      <c r="K233" s="89"/>
      <c r="L233" s="93"/>
      <c r="M233" s="94"/>
      <c r="N233" s="94"/>
      <c r="O233" s="92"/>
      <c r="P233" s="131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46"/>
      <c r="C234" s="47"/>
      <c r="D234" s="49"/>
      <c r="E234" s="46"/>
      <c r="F234" s="47"/>
      <c r="G234" s="49"/>
      <c r="H234" s="46"/>
      <c r="I234" s="47"/>
      <c r="J234" s="49"/>
      <c r="K234" s="51"/>
      <c r="L234" s="108"/>
      <c r="M234" s="39"/>
      <c r="N234" s="39"/>
      <c r="O234" s="38"/>
      <c r="P234" s="129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57"/>
      <c r="C235" s="59"/>
      <c r="D235" s="61"/>
      <c r="E235" s="57"/>
      <c r="F235" s="59"/>
      <c r="G235" s="61"/>
      <c r="H235" s="57"/>
      <c r="I235" s="59"/>
      <c r="J235" s="61"/>
      <c r="K235" s="64"/>
      <c r="L235" s="68"/>
      <c r="M235" s="44"/>
      <c r="N235" s="44"/>
      <c r="O235" s="44"/>
      <c r="P235" s="130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57"/>
      <c r="C236" s="59"/>
      <c r="D236" s="61"/>
      <c r="E236" s="57"/>
      <c r="F236" s="59"/>
      <c r="G236" s="61"/>
      <c r="H236" s="57"/>
      <c r="I236" s="59"/>
      <c r="J236" s="61"/>
      <c r="K236" s="64"/>
      <c r="L236" s="68"/>
      <c r="M236" s="44"/>
      <c r="N236" s="44"/>
      <c r="O236" s="44"/>
      <c r="P236" s="130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57"/>
      <c r="C237" s="59"/>
      <c r="D237" s="61"/>
      <c r="E237" s="57"/>
      <c r="F237" s="59"/>
      <c r="G237" s="61"/>
      <c r="H237" s="57"/>
      <c r="I237" s="59"/>
      <c r="J237" s="61"/>
      <c r="K237" s="64"/>
      <c r="L237" s="68"/>
      <c r="M237" s="44"/>
      <c r="N237" s="44"/>
      <c r="O237" s="44"/>
      <c r="P237" s="130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74"/>
      <c r="C238" s="76"/>
      <c r="D238" s="78"/>
      <c r="E238" s="74"/>
      <c r="F238" s="76"/>
      <c r="G238" s="78"/>
      <c r="H238" s="74"/>
      <c r="I238" s="76"/>
      <c r="J238" s="78"/>
      <c r="K238" s="80"/>
      <c r="L238" s="88"/>
      <c r="M238" s="44"/>
      <c r="N238" s="44"/>
      <c r="O238" s="44"/>
      <c r="P238" s="130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3"/>
      <c r="C239" s="83"/>
      <c r="D239" s="85"/>
      <c r="E239" s="83"/>
      <c r="F239" s="83"/>
      <c r="G239" s="85"/>
      <c r="H239" s="83"/>
      <c r="I239" s="83"/>
      <c r="J239" s="85"/>
      <c r="K239" s="85"/>
      <c r="L239" s="88"/>
      <c r="M239" s="44"/>
      <c r="N239" s="44"/>
      <c r="O239" s="44"/>
      <c r="P239" s="130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91"/>
      <c r="C240" s="91"/>
      <c r="D240" s="89"/>
      <c r="E240" s="91"/>
      <c r="F240" s="91"/>
      <c r="G240" s="89"/>
      <c r="H240" s="91"/>
      <c r="I240" s="91"/>
      <c r="J240" s="89"/>
      <c r="K240" s="89"/>
      <c r="L240" s="93"/>
      <c r="M240" s="94"/>
      <c r="N240" s="94"/>
      <c r="O240" s="92"/>
      <c r="P240" s="131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46"/>
      <c r="C241" s="47"/>
      <c r="D241" s="49"/>
      <c r="E241" s="46"/>
      <c r="F241" s="47"/>
      <c r="G241" s="49"/>
      <c r="H241" s="46"/>
      <c r="I241" s="47"/>
      <c r="J241" s="49"/>
      <c r="K241" s="51"/>
      <c r="L241" s="108"/>
      <c r="M241" s="39"/>
      <c r="N241" s="39"/>
      <c r="O241" s="38"/>
      <c r="P241" s="129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57"/>
      <c r="C242" s="59"/>
      <c r="D242" s="61"/>
      <c r="E242" s="57"/>
      <c r="F242" s="59"/>
      <c r="G242" s="61"/>
      <c r="H242" s="57"/>
      <c r="I242" s="59"/>
      <c r="J242" s="61"/>
      <c r="K242" s="64"/>
      <c r="L242" s="68"/>
      <c r="M242" s="44"/>
      <c r="N242" s="44"/>
      <c r="O242" s="44"/>
      <c r="P242" s="130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57"/>
      <c r="C243" s="59"/>
      <c r="D243" s="61"/>
      <c r="E243" s="57"/>
      <c r="F243" s="59"/>
      <c r="G243" s="61"/>
      <c r="H243" s="57"/>
      <c r="I243" s="59"/>
      <c r="J243" s="61"/>
      <c r="K243" s="64"/>
      <c r="L243" s="68"/>
      <c r="M243" s="44"/>
      <c r="N243" s="44"/>
      <c r="O243" s="44"/>
      <c r="P243" s="130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57"/>
      <c r="C244" s="59"/>
      <c r="D244" s="61"/>
      <c r="E244" s="57"/>
      <c r="F244" s="59"/>
      <c r="G244" s="61"/>
      <c r="H244" s="57"/>
      <c r="I244" s="59"/>
      <c r="J244" s="61"/>
      <c r="K244" s="64"/>
      <c r="L244" s="68"/>
      <c r="M244" s="44"/>
      <c r="N244" s="44"/>
      <c r="O244" s="44"/>
      <c r="P244" s="130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74"/>
      <c r="C245" s="76"/>
      <c r="D245" s="78"/>
      <c r="E245" s="74"/>
      <c r="F245" s="76"/>
      <c r="G245" s="78"/>
      <c r="H245" s="74"/>
      <c r="I245" s="76"/>
      <c r="J245" s="78"/>
      <c r="K245" s="80"/>
      <c r="L245" s="88"/>
      <c r="M245" s="44"/>
      <c r="N245" s="44"/>
      <c r="O245" s="44"/>
      <c r="P245" s="130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3"/>
      <c r="C246" s="83"/>
      <c r="D246" s="85"/>
      <c r="E246" s="83"/>
      <c r="F246" s="83"/>
      <c r="G246" s="85"/>
      <c r="H246" s="83"/>
      <c r="I246" s="83"/>
      <c r="J246" s="85"/>
      <c r="K246" s="85"/>
      <c r="L246" s="88"/>
      <c r="M246" s="44"/>
      <c r="N246" s="44"/>
      <c r="O246" s="44"/>
      <c r="P246" s="130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91"/>
      <c r="C247" s="91"/>
      <c r="D247" s="89"/>
      <c r="E247" s="91"/>
      <c r="F247" s="91"/>
      <c r="G247" s="89"/>
      <c r="H247" s="91"/>
      <c r="I247" s="91"/>
      <c r="J247" s="89"/>
      <c r="K247" s="89"/>
      <c r="L247" s="93"/>
      <c r="M247" s="94"/>
      <c r="N247" s="94"/>
      <c r="O247" s="92"/>
      <c r="P247" s="131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46"/>
      <c r="C248" s="47"/>
      <c r="D248" s="49"/>
      <c r="E248" s="46"/>
      <c r="F248" s="47"/>
      <c r="G248" s="49"/>
      <c r="H248" s="46"/>
      <c r="I248" s="47"/>
      <c r="J248" s="49"/>
      <c r="K248" s="51"/>
      <c r="L248" s="108"/>
      <c r="M248" s="39"/>
      <c r="N248" s="39"/>
      <c r="O248" s="38"/>
      <c r="P248" s="129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57"/>
      <c r="C249" s="59"/>
      <c r="D249" s="61"/>
      <c r="E249" s="57"/>
      <c r="F249" s="59"/>
      <c r="G249" s="61"/>
      <c r="H249" s="57"/>
      <c r="I249" s="59"/>
      <c r="J249" s="61"/>
      <c r="K249" s="64"/>
      <c r="L249" s="68"/>
      <c r="M249" s="44"/>
      <c r="N249" s="44"/>
      <c r="O249" s="44"/>
      <c r="P249" s="130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57"/>
      <c r="C250" s="59"/>
      <c r="D250" s="61"/>
      <c r="E250" s="57"/>
      <c r="F250" s="59"/>
      <c r="G250" s="61"/>
      <c r="H250" s="57"/>
      <c r="I250" s="59"/>
      <c r="J250" s="61"/>
      <c r="K250" s="64"/>
      <c r="L250" s="68"/>
      <c r="M250" s="44"/>
      <c r="N250" s="44"/>
      <c r="O250" s="44"/>
      <c r="P250" s="130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57"/>
      <c r="C251" s="59"/>
      <c r="D251" s="61"/>
      <c r="E251" s="57"/>
      <c r="F251" s="59"/>
      <c r="G251" s="61"/>
      <c r="H251" s="57"/>
      <c r="I251" s="59"/>
      <c r="J251" s="61"/>
      <c r="K251" s="64"/>
      <c r="L251" s="68"/>
      <c r="M251" s="44"/>
      <c r="N251" s="44"/>
      <c r="O251" s="44"/>
      <c r="P251" s="130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74"/>
      <c r="C252" s="76"/>
      <c r="D252" s="78"/>
      <c r="E252" s="74"/>
      <c r="F252" s="76"/>
      <c r="G252" s="78"/>
      <c r="H252" s="74"/>
      <c r="I252" s="76"/>
      <c r="J252" s="78"/>
      <c r="K252" s="80"/>
      <c r="L252" s="88"/>
      <c r="M252" s="44"/>
      <c r="N252" s="44"/>
      <c r="O252" s="44"/>
      <c r="P252" s="130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3"/>
      <c r="C253" s="83"/>
      <c r="D253" s="85"/>
      <c r="E253" s="83"/>
      <c r="F253" s="83"/>
      <c r="G253" s="85"/>
      <c r="H253" s="83"/>
      <c r="I253" s="83"/>
      <c r="J253" s="85"/>
      <c r="K253" s="85"/>
      <c r="L253" s="88"/>
      <c r="M253" s="44"/>
      <c r="N253" s="44"/>
      <c r="O253" s="44"/>
      <c r="P253" s="130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91"/>
      <c r="C254" s="91"/>
      <c r="D254" s="89"/>
      <c r="E254" s="91"/>
      <c r="F254" s="91"/>
      <c r="G254" s="89"/>
      <c r="H254" s="91"/>
      <c r="I254" s="91"/>
      <c r="J254" s="89"/>
      <c r="K254" s="89"/>
      <c r="L254" s="93"/>
      <c r="M254" s="94"/>
      <c r="N254" s="94"/>
      <c r="O254" s="92"/>
      <c r="P254" s="131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46"/>
      <c r="C255" s="47"/>
      <c r="D255" s="49"/>
      <c r="E255" s="46"/>
      <c r="F255" s="47"/>
      <c r="G255" s="49"/>
      <c r="H255" s="46"/>
      <c r="I255" s="47"/>
      <c r="J255" s="49"/>
      <c r="K255" s="51"/>
      <c r="L255" s="108"/>
      <c r="M255" s="39"/>
      <c r="N255" s="39"/>
      <c r="O255" s="38"/>
      <c r="P255" s="129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57"/>
      <c r="C256" s="59"/>
      <c r="D256" s="61"/>
      <c r="E256" s="57"/>
      <c r="F256" s="59"/>
      <c r="G256" s="61"/>
      <c r="H256" s="57"/>
      <c r="I256" s="59"/>
      <c r="J256" s="61"/>
      <c r="K256" s="64"/>
      <c r="L256" s="68"/>
      <c r="M256" s="44"/>
      <c r="N256" s="44"/>
      <c r="O256" s="44"/>
      <c r="P256" s="130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57"/>
      <c r="C257" s="59"/>
      <c r="D257" s="61"/>
      <c r="E257" s="57"/>
      <c r="F257" s="59"/>
      <c r="G257" s="61"/>
      <c r="H257" s="57"/>
      <c r="I257" s="59"/>
      <c r="J257" s="61"/>
      <c r="K257" s="64"/>
      <c r="L257" s="68"/>
      <c r="M257" s="44"/>
      <c r="N257" s="44"/>
      <c r="O257" s="44"/>
      <c r="P257" s="130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57"/>
      <c r="C258" s="59"/>
      <c r="D258" s="61"/>
      <c r="E258" s="57"/>
      <c r="F258" s="59"/>
      <c r="G258" s="61"/>
      <c r="H258" s="57"/>
      <c r="I258" s="59"/>
      <c r="J258" s="61"/>
      <c r="K258" s="64"/>
      <c r="L258" s="68"/>
      <c r="M258" s="44"/>
      <c r="N258" s="44"/>
      <c r="O258" s="44"/>
      <c r="P258" s="130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74"/>
      <c r="C259" s="76"/>
      <c r="D259" s="78"/>
      <c r="E259" s="74"/>
      <c r="F259" s="76"/>
      <c r="G259" s="78"/>
      <c r="H259" s="74"/>
      <c r="I259" s="76"/>
      <c r="J259" s="78"/>
      <c r="K259" s="80"/>
      <c r="L259" s="88"/>
      <c r="M259" s="44"/>
      <c r="N259" s="44"/>
      <c r="O259" s="44"/>
      <c r="P259" s="130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3"/>
      <c r="C260" s="83"/>
      <c r="D260" s="85"/>
      <c r="E260" s="83"/>
      <c r="F260" s="83"/>
      <c r="G260" s="85"/>
      <c r="H260" s="83"/>
      <c r="I260" s="83"/>
      <c r="J260" s="85"/>
      <c r="K260" s="85"/>
      <c r="L260" s="88"/>
      <c r="M260" s="44"/>
      <c r="N260" s="44"/>
      <c r="O260" s="44"/>
      <c r="P260" s="130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91"/>
      <c r="C261" s="91"/>
      <c r="D261" s="89"/>
      <c r="E261" s="91"/>
      <c r="F261" s="91"/>
      <c r="G261" s="89"/>
      <c r="H261" s="91"/>
      <c r="I261" s="91"/>
      <c r="J261" s="89"/>
      <c r="K261" s="89"/>
      <c r="L261" s="93"/>
      <c r="M261" s="94"/>
      <c r="N261" s="94"/>
      <c r="O261" s="92"/>
      <c r="P261" s="131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46"/>
      <c r="C262" s="47"/>
      <c r="D262" s="49"/>
      <c r="E262" s="46"/>
      <c r="F262" s="47"/>
      <c r="G262" s="49"/>
      <c r="H262" s="46"/>
      <c r="I262" s="47"/>
      <c r="J262" s="49"/>
      <c r="K262" s="51"/>
      <c r="L262" s="108"/>
      <c r="M262" s="39"/>
      <c r="N262" s="39"/>
      <c r="O262" s="38"/>
      <c r="P262" s="129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57"/>
      <c r="C263" s="59"/>
      <c r="D263" s="61"/>
      <c r="E263" s="57"/>
      <c r="F263" s="59"/>
      <c r="G263" s="61"/>
      <c r="H263" s="57"/>
      <c r="I263" s="59"/>
      <c r="J263" s="61"/>
      <c r="K263" s="64"/>
      <c r="L263" s="68"/>
      <c r="M263" s="44"/>
      <c r="N263" s="44"/>
      <c r="O263" s="44"/>
      <c r="P263" s="130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57"/>
      <c r="C264" s="59"/>
      <c r="D264" s="61"/>
      <c r="E264" s="57"/>
      <c r="F264" s="59"/>
      <c r="G264" s="61"/>
      <c r="H264" s="57"/>
      <c r="I264" s="59"/>
      <c r="J264" s="61"/>
      <c r="K264" s="64"/>
      <c r="L264" s="68"/>
      <c r="M264" s="44"/>
      <c r="N264" s="44"/>
      <c r="O264" s="44"/>
      <c r="P264" s="130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57"/>
      <c r="C265" s="59"/>
      <c r="D265" s="61"/>
      <c r="E265" s="57"/>
      <c r="F265" s="59"/>
      <c r="G265" s="61"/>
      <c r="H265" s="57"/>
      <c r="I265" s="59"/>
      <c r="J265" s="61"/>
      <c r="K265" s="64"/>
      <c r="L265" s="68"/>
      <c r="M265" s="44"/>
      <c r="N265" s="44"/>
      <c r="O265" s="44"/>
      <c r="P265" s="130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74"/>
      <c r="C266" s="76"/>
      <c r="D266" s="78"/>
      <c r="E266" s="74"/>
      <c r="F266" s="76"/>
      <c r="G266" s="78"/>
      <c r="H266" s="74"/>
      <c r="I266" s="76"/>
      <c r="J266" s="78"/>
      <c r="K266" s="80"/>
      <c r="L266" s="88"/>
      <c r="M266" s="44"/>
      <c r="N266" s="44"/>
      <c r="O266" s="44"/>
      <c r="P266" s="130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3"/>
      <c r="C267" s="83"/>
      <c r="D267" s="85"/>
      <c r="E267" s="83"/>
      <c r="F267" s="83"/>
      <c r="G267" s="85"/>
      <c r="H267" s="83"/>
      <c r="I267" s="83"/>
      <c r="J267" s="85"/>
      <c r="K267" s="85"/>
      <c r="L267" s="88"/>
      <c r="M267" s="44"/>
      <c r="N267" s="44"/>
      <c r="O267" s="44"/>
      <c r="P267" s="130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91"/>
      <c r="C268" s="91"/>
      <c r="D268" s="89"/>
      <c r="E268" s="91"/>
      <c r="F268" s="91"/>
      <c r="G268" s="89"/>
      <c r="H268" s="91"/>
      <c r="I268" s="91"/>
      <c r="J268" s="89"/>
      <c r="K268" s="89"/>
      <c r="L268" s="93"/>
      <c r="M268" s="94"/>
      <c r="N268" s="94"/>
      <c r="O268" s="92"/>
      <c r="P268" s="131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46"/>
      <c r="C269" s="47"/>
      <c r="D269" s="49"/>
      <c r="E269" s="46"/>
      <c r="F269" s="47"/>
      <c r="G269" s="49"/>
      <c r="H269" s="46"/>
      <c r="I269" s="47"/>
      <c r="J269" s="49"/>
      <c r="K269" s="51"/>
      <c r="L269" s="108"/>
      <c r="M269" s="39"/>
      <c r="N269" s="39"/>
      <c r="O269" s="38"/>
      <c r="P269" s="129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57"/>
      <c r="C270" s="59"/>
      <c r="D270" s="61"/>
      <c r="E270" s="57"/>
      <c r="F270" s="59"/>
      <c r="G270" s="61"/>
      <c r="H270" s="57"/>
      <c r="I270" s="59"/>
      <c r="J270" s="61"/>
      <c r="K270" s="64"/>
      <c r="L270" s="68"/>
      <c r="M270" s="44"/>
      <c r="N270" s="44"/>
      <c r="O270" s="44"/>
      <c r="P270" s="130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57"/>
      <c r="C271" s="59"/>
      <c r="D271" s="61"/>
      <c r="E271" s="57"/>
      <c r="F271" s="59"/>
      <c r="G271" s="61"/>
      <c r="H271" s="57"/>
      <c r="I271" s="59"/>
      <c r="J271" s="61"/>
      <c r="K271" s="64"/>
      <c r="L271" s="68"/>
      <c r="M271" s="44"/>
      <c r="N271" s="44"/>
      <c r="O271" s="44"/>
      <c r="P271" s="130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57"/>
      <c r="C272" s="59"/>
      <c r="D272" s="61"/>
      <c r="E272" s="57"/>
      <c r="F272" s="59"/>
      <c r="G272" s="61"/>
      <c r="H272" s="57"/>
      <c r="I272" s="59"/>
      <c r="J272" s="61"/>
      <c r="K272" s="64"/>
      <c r="L272" s="68"/>
      <c r="M272" s="44"/>
      <c r="N272" s="44"/>
      <c r="O272" s="44"/>
      <c r="P272" s="130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74"/>
      <c r="C273" s="76"/>
      <c r="D273" s="78"/>
      <c r="E273" s="74"/>
      <c r="F273" s="76"/>
      <c r="G273" s="78"/>
      <c r="H273" s="74"/>
      <c r="I273" s="76"/>
      <c r="J273" s="78"/>
      <c r="K273" s="80"/>
      <c r="L273" s="88"/>
      <c r="M273" s="44"/>
      <c r="N273" s="44"/>
      <c r="O273" s="44"/>
      <c r="P273" s="130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3"/>
      <c r="C274" s="83"/>
      <c r="D274" s="85"/>
      <c r="E274" s="83"/>
      <c r="F274" s="83"/>
      <c r="G274" s="85"/>
      <c r="H274" s="83"/>
      <c r="I274" s="83"/>
      <c r="J274" s="85"/>
      <c r="K274" s="85"/>
      <c r="L274" s="88"/>
      <c r="M274" s="44"/>
      <c r="N274" s="44"/>
      <c r="O274" s="44"/>
      <c r="P274" s="130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91"/>
      <c r="C275" s="91"/>
      <c r="D275" s="89"/>
      <c r="E275" s="91"/>
      <c r="F275" s="91"/>
      <c r="G275" s="89"/>
      <c r="H275" s="91"/>
      <c r="I275" s="91"/>
      <c r="J275" s="89"/>
      <c r="K275" s="89"/>
      <c r="L275" s="93"/>
      <c r="M275" s="94"/>
      <c r="N275" s="94"/>
      <c r="O275" s="92"/>
      <c r="P275" s="131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46"/>
      <c r="C276" s="47"/>
      <c r="D276" s="49"/>
      <c r="E276" s="46"/>
      <c r="F276" s="47"/>
      <c r="G276" s="49"/>
      <c r="H276" s="46"/>
      <c r="I276" s="47"/>
      <c r="J276" s="49"/>
      <c r="K276" s="51"/>
      <c r="L276" s="108"/>
      <c r="M276" s="39"/>
      <c r="N276" s="39"/>
      <c r="O276" s="38"/>
      <c r="P276" s="129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57"/>
      <c r="C277" s="59"/>
      <c r="D277" s="61"/>
      <c r="E277" s="57"/>
      <c r="F277" s="59"/>
      <c r="G277" s="61"/>
      <c r="H277" s="57"/>
      <c r="I277" s="59"/>
      <c r="J277" s="61"/>
      <c r="K277" s="64"/>
      <c r="L277" s="68"/>
      <c r="M277" s="44"/>
      <c r="N277" s="44"/>
      <c r="O277" s="44"/>
      <c r="P277" s="130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57"/>
      <c r="C278" s="59"/>
      <c r="D278" s="61"/>
      <c r="E278" s="57"/>
      <c r="F278" s="59"/>
      <c r="G278" s="61"/>
      <c r="H278" s="57"/>
      <c r="I278" s="59"/>
      <c r="J278" s="61"/>
      <c r="K278" s="64"/>
      <c r="L278" s="68"/>
      <c r="M278" s="44"/>
      <c r="N278" s="44"/>
      <c r="O278" s="44"/>
      <c r="P278" s="130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57"/>
      <c r="C279" s="59"/>
      <c r="D279" s="61"/>
      <c r="E279" s="57"/>
      <c r="F279" s="59"/>
      <c r="G279" s="61"/>
      <c r="H279" s="57"/>
      <c r="I279" s="59"/>
      <c r="J279" s="61"/>
      <c r="K279" s="64"/>
      <c r="L279" s="68"/>
      <c r="M279" s="44"/>
      <c r="N279" s="44"/>
      <c r="O279" s="44"/>
      <c r="P279" s="130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74"/>
      <c r="C280" s="76"/>
      <c r="D280" s="78"/>
      <c r="E280" s="74"/>
      <c r="F280" s="76"/>
      <c r="G280" s="78"/>
      <c r="H280" s="74"/>
      <c r="I280" s="76"/>
      <c r="J280" s="78"/>
      <c r="K280" s="80"/>
      <c r="L280" s="88"/>
      <c r="M280" s="44"/>
      <c r="N280" s="44"/>
      <c r="O280" s="44"/>
      <c r="P280" s="130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3"/>
      <c r="C281" s="83"/>
      <c r="D281" s="85"/>
      <c r="E281" s="83"/>
      <c r="F281" s="83"/>
      <c r="G281" s="85"/>
      <c r="H281" s="83"/>
      <c r="I281" s="83"/>
      <c r="J281" s="85"/>
      <c r="K281" s="85"/>
      <c r="L281" s="88"/>
      <c r="M281" s="44"/>
      <c r="N281" s="44"/>
      <c r="O281" s="44"/>
      <c r="P281" s="130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91"/>
      <c r="C282" s="91"/>
      <c r="D282" s="89"/>
      <c r="E282" s="91"/>
      <c r="F282" s="91"/>
      <c r="G282" s="89"/>
      <c r="H282" s="91"/>
      <c r="I282" s="91"/>
      <c r="J282" s="89"/>
      <c r="K282" s="89"/>
      <c r="L282" s="93"/>
      <c r="M282" s="94"/>
      <c r="N282" s="94"/>
      <c r="O282" s="92"/>
      <c r="P282" s="131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46"/>
      <c r="C283" s="47"/>
      <c r="D283" s="49"/>
      <c r="E283" s="46"/>
      <c r="F283" s="47"/>
      <c r="G283" s="49"/>
      <c r="H283" s="46"/>
      <c r="I283" s="47"/>
      <c r="J283" s="49"/>
      <c r="K283" s="51"/>
      <c r="L283" s="108"/>
      <c r="M283" s="39"/>
      <c r="N283" s="39"/>
      <c r="O283" s="38"/>
      <c r="P283" s="129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57"/>
      <c r="C284" s="59"/>
      <c r="D284" s="61"/>
      <c r="E284" s="57"/>
      <c r="F284" s="59"/>
      <c r="G284" s="61"/>
      <c r="H284" s="57"/>
      <c r="I284" s="59"/>
      <c r="J284" s="61"/>
      <c r="K284" s="64"/>
      <c r="L284" s="68"/>
      <c r="M284" s="44"/>
      <c r="N284" s="44"/>
      <c r="O284" s="44"/>
      <c r="P284" s="130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57"/>
      <c r="C285" s="59"/>
      <c r="D285" s="61"/>
      <c r="E285" s="57"/>
      <c r="F285" s="59"/>
      <c r="G285" s="61"/>
      <c r="H285" s="57"/>
      <c r="I285" s="59"/>
      <c r="J285" s="61"/>
      <c r="K285" s="64"/>
      <c r="L285" s="68"/>
      <c r="M285" s="44"/>
      <c r="N285" s="44"/>
      <c r="O285" s="44"/>
      <c r="P285" s="130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57"/>
      <c r="C286" s="59"/>
      <c r="D286" s="61"/>
      <c r="E286" s="57"/>
      <c r="F286" s="59"/>
      <c r="G286" s="61"/>
      <c r="H286" s="57"/>
      <c r="I286" s="59"/>
      <c r="J286" s="61"/>
      <c r="K286" s="64"/>
      <c r="L286" s="68"/>
      <c r="M286" s="44"/>
      <c r="N286" s="44"/>
      <c r="O286" s="44"/>
      <c r="P286" s="130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74"/>
      <c r="C287" s="76"/>
      <c r="D287" s="78"/>
      <c r="E287" s="74"/>
      <c r="F287" s="76"/>
      <c r="G287" s="78"/>
      <c r="H287" s="74"/>
      <c r="I287" s="76"/>
      <c r="J287" s="78"/>
      <c r="K287" s="80"/>
      <c r="L287" s="88"/>
      <c r="M287" s="44"/>
      <c r="N287" s="44"/>
      <c r="O287" s="44"/>
      <c r="P287" s="130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3"/>
      <c r="C288" s="83"/>
      <c r="D288" s="85"/>
      <c r="E288" s="83"/>
      <c r="F288" s="83"/>
      <c r="G288" s="85"/>
      <c r="H288" s="83"/>
      <c r="I288" s="83"/>
      <c r="J288" s="85"/>
      <c r="K288" s="85"/>
      <c r="L288" s="88"/>
      <c r="M288" s="44"/>
      <c r="N288" s="44"/>
      <c r="O288" s="44"/>
      <c r="P288" s="130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91"/>
      <c r="C289" s="91"/>
      <c r="D289" s="89"/>
      <c r="E289" s="91"/>
      <c r="F289" s="91"/>
      <c r="G289" s="89"/>
      <c r="H289" s="91"/>
      <c r="I289" s="91"/>
      <c r="J289" s="89"/>
      <c r="K289" s="89"/>
      <c r="L289" s="93"/>
      <c r="M289" s="94"/>
      <c r="N289" s="94"/>
      <c r="O289" s="92"/>
      <c r="P289" s="131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46"/>
      <c r="C290" s="47"/>
      <c r="D290" s="49"/>
      <c r="E290" s="46"/>
      <c r="F290" s="47"/>
      <c r="G290" s="49"/>
      <c r="H290" s="46"/>
      <c r="I290" s="47"/>
      <c r="J290" s="49"/>
      <c r="K290" s="51"/>
      <c r="L290" s="108"/>
      <c r="M290" s="39"/>
      <c r="N290" s="39"/>
      <c r="O290" s="38"/>
      <c r="P290" s="129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57"/>
      <c r="C291" s="59"/>
      <c r="D291" s="61"/>
      <c r="E291" s="57"/>
      <c r="F291" s="59"/>
      <c r="G291" s="61"/>
      <c r="H291" s="57"/>
      <c r="I291" s="59"/>
      <c r="J291" s="61"/>
      <c r="K291" s="64"/>
      <c r="L291" s="68"/>
      <c r="M291" s="44"/>
      <c r="N291" s="44"/>
      <c r="O291" s="44"/>
      <c r="P291" s="130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57"/>
      <c r="C292" s="59"/>
      <c r="D292" s="61"/>
      <c r="E292" s="57"/>
      <c r="F292" s="59"/>
      <c r="G292" s="61"/>
      <c r="H292" s="57"/>
      <c r="I292" s="59"/>
      <c r="J292" s="61"/>
      <c r="K292" s="64"/>
      <c r="L292" s="68"/>
      <c r="M292" s="44"/>
      <c r="N292" s="44"/>
      <c r="O292" s="44"/>
      <c r="P292" s="130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57"/>
      <c r="C293" s="59"/>
      <c r="D293" s="61"/>
      <c r="E293" s="57"/>
      <c r="F293" s="59"/>
      <c r="G293" s="61"/>
      <c r="H293" s="57"/>
      <c r="I293" s="59"/>
      <c r="J293" s="61"/>
      <c r="K293" s="64"/>
      <c r="L293" s="68"/>
      <c r="M293" s="44"/>
      <c r="N293" s="44"/>
      <c r="O293" s="44"/>
      <c r="P293" s="130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74"/>
      <c r="C294" s="76"/>
      <c r="D294" s="78"/>
      <c r="E294" s="74"/>
      <c r="F294" s="76"/>
      <c r="G294" s="78"/>
      <c r="H294" s="74"/>
      <c r="I294" s="76"/>
      <c r="J294" s="78"/>
      <c r="K294" s="80"/>
      <c r="L294" s="88"/>
      <c r="M294" s="44"/>
      <c r="N294" s="44"/>
      <c r="O294" s="44"/>
      <c r="P294" s="130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3"/>
      <c r="C295" s="83"/>
      <c r="D295" s="85"/>
      <c r="E295" s="83"/>
      <c r="F295" s="83"/>
      <c r="G295" s="85"/>
      <c r="H295" s="83"/>
      <c r="I295" s="83"/>
      <c r="J295" s="85"/>
      <c r="K295" s="85"/>
      <c r="L295" s="88"/>
      <c r="M295" s="44"/>
      <c r="N295" s="44"/>
      <c r="O295" s="44"/>
      <c r="P295" s="130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91"/>
      <c r="C296" s="91"/>
      <c r="D296" s="89"/>
      <c r="E296" s="91"/>
      <c r="F296" s="91"/>
      <c r="G296" s="89"/>
      <c r="H296" s="91"/>
      <c r="I296" s="91"/>
      <c r="J296" s="89"/>
      <c r="K296" s="89"/>
      <c r="L296" s="93"/>
      <c r="M296" s="94"/>
      <c r="N296" s="94"/>
      <c r="O296" s="92"/>
      <c r="P296" s="131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46"/>
      <c r="C297" s="47"/>
      <c r="D297" s="49"/>
      <c r="E297" s="46"/>
      <c r="F297" s="47"/>
      <c r="G297" s="49"/>
      <c r="H297" s="46"/>
      <c r="I297" s="47"/>
      <c r="J297" s="49"/>
      <c r="K297" s="51"/>
      <c r="L297" s="108"/>
      <c r="M297" s="39"/>
      <c r="N297" s="39"/>
      <c r="O297" s="38"/>
      <c r="P297" s="129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57"/>
      <c r="C298" s="59"/>
      <c r="D298" s="61"/>
      <c r="E298" s="57"/>
      <c r="F298" s="59"/>
      <c r="G298" s="61"/>
      <c r="H298" s="57"/>
      <c r="I298" s="59"/>
      <c r="J298" s="61"/>
      <c r="K298" s="64"/>
      <c r="L298" s="68"/>
      <c r="M298" s="44"/>
      <c r="N298" s="44"/>
      <c r="O298" s="44"/>
      <c r="P298" s="130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57"/>
      <c r="C299" s="59"/>
      <c r="D299" s="61"/>
      <c r="E299" s="57"/>
      <c r="F299" s="59"/>
      <c r="G299" s="61"/>
      <c r="H299" s="57"/>
      <c r="I299" s="59"/>
      <c r="J299" s="61"/>
      <c r="K299" s="64"/>
      <c r="L299" s="68"/>
      <c r="M299" s="44"/>
      <c r="N299" s="44"/>
      <c r="O299" s="44"/>
      <c r="P299" s="130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57"/>
      <c r="C300" s="59"/>
      <c r="D300" s="61"/>
      <c r="E300" s="57"/>
      <c r="F300" s="59"/>
      <c r="G300" s="61"/>
      <c r="H300" s="57"/>
      <c r="I300" s="59"/>
      <c r="J300" s="61"/>
      <c r="K300" s="64"/>
      <c r="L300" s="68"/>
      <c r="M300" s="44"/>
      <c r="N300" s="44"/>
      <c r="O300" s="44"/>
      <c r="P300" s="130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74"/>
      <c r="C301" s="76"/>
      <c r="D301" s="78"/>
      <c r="E301" s="74"/>
      <c r="F301" s="76"/>
      <c r="G301" s="78"/>
      <c r="H301" s="74"/>
      <c r="I301" s="76"/>
      <c r="J301" s="78"/>
      <c r="K301" s="80"/>
      <c r="L301" s="88"/>
      <c r="M301" s="44"/>
      <c r="N301" s="44"/>
      <c r="O301" s="44"/>
      <c r="P301" s="130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3"/>
      <c r="C302" s="83"/>
      <c r="D302" s="85"/>
      <c r="E302" s="83"/>
      <c r="F302" s="83"/>
      <c r="G302" s="85"/>
      <c r="H302" s="83"/>
      <c r="I302" s="83"/>
      <c r="J302" s="85"/>
      <c r="K302" s="85"/>
      <c r="L302" s="88"/>
      <c r="M302" s="44"/>
      <c r="N302" s="44"/>
      <c r="O302" s="44"/>
      <c r="P302" s="130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91"/>
      <c r="C303" s="91"/>
      <c r="D303" s="89"/>
      <c r="E303" s="91"/>
      <c r="F303" s="91"/>
      <c r="G303" s="89"/>
      <c r="H303" s="91"/>
      <c r="I303" s="91"/>
      <c r="J303" s="89"/>
      <c r="K303" s="89"/>
      <c r="L303" s="93"/>
      <c r="M303" s="94"/>
      <c r="N303" s="94"/>
      <c r="O303" s="92"/>
      <c r="P303" s="131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44"/>
      <c r="M304" s="44"/>
      <c r="N304" s="44"/>
      <c r="O304" s="44"/>
      <c r="P304" s="151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44"/>
      <c r="M305" s="44"/>
      <c r="N305" s="44"/>
      <c r="O305" s="44"/>
      <c r="P305" s="151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44"/>
      <c r="M306" s="44"/>
      <c r="N306" s="44"/>
      <c r="O306" s="44"/>
      <c r="P306" s="151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44"/>
      <c r="M307" s="44"/>
      <c r="N307" s="44"/>
      <c r="O307" s="44"/>
      <c r="P307" s="151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44"/>
      <c r="M308" s="44"/>
      <c r="N308" s="44"/>
      <c r="O308" s="44"/>
      <c r="P308" s="151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44"/>
      <c r="M309" s="44"/>
      <c r="N309" s="44"/>
      <c r="O309" s="44"/>
      <c r="P309" s="151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44"/>
      <c r="M310" s="44"/>
      <c r="N310" s="44"/>
      <c r="O310" s="44"/>
      <c r="P310" s="151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44"/>
      <c r="M311" s="44"/>
      <c r="N311" s="44"/>
      <c r="O311" s="44"/>
      <c r="P311" s="151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44"/>
      <c r="M312" s="44"/>
      <c r="N312" s="44"/>
      <c r="O312" s="44"/>
      <c r="P312" s="151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44"/>
      <c r="M313" s="44"/>
      <c r="N313" s="44"/>
      <c r="O313" s="44"/>
      <c r="P313" s="151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44"/>
      <c r="M314" s="44"/>
      <c r="N314" s="44"/>
      <c r="O314" s="44"/>
      <c r="P314" s="151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44"/>
      <c r="M315" s="44"/>
      <c r="N315" s="44"/>
      <c r="O315" s="44"/>
      <c r="P315" s="151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44"/>
      <c r="M316" s="44"/>
      <c r="N316" s="44"/>
      <c r="O316" s="44"/>
      <c r="P316" s="151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44"/>
      <c r="M317" s="44"/>
      <c r="N317" s="44"/>
      <c r="O317" s="44"/>
      <c r="P317" s="151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44"/>
      <c r="M318" s="44"/>
      <c r="N318" s="44"/>
      <c r="O318" s="44"/>
      <c r="P318" s="151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44"/>
      <c r="M319" s="44"/>
      <c r="N319" s="44"/>
      <c r="O319" s="44"/>
      <c r="P319" s="151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44"/>
      <c r="M320" s="44"/>
      <c r="N320" s="44"/>
      <c r="O320" s="44"/>
      <c r="P320" s="151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44"/>
      <c r="M321" s="44"/>
      <c r="N321" s="44"/>
      <c r="O321" s="44"/>
      <c r="P321" s="151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44"/>
      <c r="M322" s="44"/>
      <c r="N322" s="44"/>
      <c r="O322" s="44"/>
      <c r="P322" s="151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44"/>
      <c r="M323" s="44"/>
      <c r="N323" s="44"/>
      <c r="O323" s="44"/>
      <c r="P323" s="151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44"/>
      <c r="M324" s="44"/>
      <c r="N324" s="44"/>
      <c r="O324" s="44"/>
      <c r="P324" s="151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44"/>
      <c r="M325" s="44"/>
      <c r="N325" s="44"/>
      <c r="O325" s="44"/>
      <c r="P325" s="151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44"/>
      <c r="M326" s="44"/>
      <c r="N326" s="44"/>
      <c r="O326" s="44"/>
      <c r="P326" s="151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44"/>
      <c r="M327" s="44"/>
      <c r="N327" s="44"/>
      <c r="O327" s="44"/>
      <c r="P327" s="151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44"/>
      <c r="M328" s="44"/>
      <c r="N328" s="44"/>
      <c r="O328" s="44"/>
      <c r="P328" s="151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44"/>
      <c r="M329" s="44"/>
      <c r="N329" s="44"/>
      <c r="O329" s="44"/>
      <c r="P329" s="151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44"/>
      <c r="M330" s="44"/>
      <c r="N330" s="44"/>
      <c r="O330" s="44"/>
      <c r="P330" s="151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44"/>
      <c r="M331" s="44"/>
      <c r="N331" s="44"/>
      <c r="O331" s="44"/>
      <c r="P331" s="151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44"/>
      <c r="M332" s="44"/>
      <c r="N332" s="44"/>
      <c r="O332" s="44"/>
      <c r="P332" s="151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44"/>
      <c r="M333" s="44"/>
      <c r="N333" s="44"/>
      <c r="O333" s="44"/>
      <c r="P333" s="151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44"/>
      <c r="M334" s="44"/>
      <c r="N334" s="44"/>
      <c r="O334" s="44"/>
      <c r="P334" s="151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44"/>
      <c r="M335" s="44"/>
      <c r="N335" s="44"/>
      <c r="O335" s="44"/>
      <c r="P335" s="151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44"/>
      <c r="M336" s="44"/>
      <c r="N336" s="44"/>
      <c r="O336" s="44"/>
      <c r="P336" s="151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44"/>
      <c r="M337" s="44"/>
      <c r="N337" s="44"/>
      <c r="O337" s="44"/>
      <c r="P337" s="151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44"/>
      <c r="M338" s="44"/>
      <c r="N338" s="44"/>
      <c r="O338" s="44"/>
      <c r="P338" s="151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44"/>
      <c r="M339" s="44"/>
      <c r="N339" s="44"/>
      <c r="O339" s="44"/>
      <c r="P339" s="151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44"/>
      <c r="M340" s="44"/>
      <c r="N340" s="44"/>
      <c r="O340" s="44"/>
      <c r="P340" s="151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44"/>
      <c r="M341" s="44"/>
      <c r="N341" s="44"/>
      <c r="O341" s="44"/>
      <c r="P341" s="151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44"/>
      <c r="M342" s="44"/>
      <c r="N342" s="44"/>
      <c r="O342" s="44"/>
      <c r="P342" s="151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44"/>
      <c r="M343" s="44"/>
      <c r="N343" s="44"/>
      <c r="O343" s="44"/>
      <c r="P343" s="151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44"/>
      <c r="M344" s="44"/>
      <c r="N344" s="44"/>
      <c r="O344" s="44"/>
      <c r="P344" s="151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44"/>
      <c r="M345" s="44"/>
      <c r="N345" s="44"/>
      <c r="O345" s="44"/>
      <c r="P345" s="151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44"/>
      <c r="M346" s="44"/>
      <c r="N346" s="44"/>
      <c r="O346" s="44"/>
      <c r="P346" s="151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44"/>
      <c r="M347" s="44"/>
      <c r="N347" s="44"/>
      <c r="O347" s="44"/>
      <c r="P347" s="151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44"/>
      <c r="M348" s="44"/>
      <c r="N348" s="44"/>
      <c r="O348" s="44"/>
      <c r="P348" s="151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44"/>
      <c r="M349" s="44"/>
      <c r="N349" s="44"/>
      <c r="O349" s="44"/>
      <c r="P349" s="151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44"/>
      <c r="M350" s="44"/>
      <c r="N350" s="44"/>
      <c r="O350" s="44"/>
      <c r="P350" s="151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44"/>
      <c r="M351" s="44"/>
      <c r="N351" s="44"/>
      <c r="O351" s="44"/>
      <c r="P351" s="151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44"/>
      <c r="M352" s="44"/>
      <c r="N352" s="44"/>
      <c r="O352" s="44"/>
      <c r="P352" s="151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44"/>
      <c r="M353" s="44"/>
      <c r="N353" s="44"/>
      <c r="O353" s="44"/>
      <c r="P353" s="151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44"/>
      <c r="M354" s="44"/>
      <c r="N354" s="44"/>
      <c r="O354" s="44"/>
      <c r="P354" s="151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44"/>
      <c r="M355" s="44"/>
      <c r="N355" s="44"/>
      <c r="O355" s="44"/>
      <c r="P355" s="151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44"/>
      <c r="M356" s="44"/>
      <c r="N356" s="44"/>
      <c r="O356" s="44"/>
      <c r="P356" s="151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44"/>
      <c r="M357" s="44"/>
      <c r="N357" s="44"/>
      <c r="O357" s="44"/>
      <c r="P357" s="151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44"/>
      <c r="M358" s="44"/>
      <c r="N358" s="44"/>
      <c r="O358" s="44"/>
      <c r="P358" s="151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44"/>
      <c r="M359" s="44"/>
      <c r="N359" s="44"/>
      <c r="O359" s="44"/>
      <c r="P359" s="151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44"/>
      <c r="M360" s="44"/>
      <c r="N360" s="44"/>
      <c r="O360" s="44"/>
      <c r="P360" s="151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44"/>
      <c r="M361" s="44"/>
      <c r="N361" s="44"/>
      <c r="O361" s="44"/>
      <c r="P361" s="151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44"/>
      <c r="M362" s="44"/>
      <c r="N362" s="44"/>
      <c r="O362" s="44"/>
      <c r="P362" s="151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44"/>
      <c r="M363" s="44"/>
      <c r="N363" s="44"/>
      <c r="O363" s="44"/>
      <c r="P363" s="151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44"/>
      <c r="M364" s="44"/>
      <c r="N364" s="44"/>
      <c r="O364" s="44"/>
      <c r="P364" s="151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44"/>
      <c r="M365" s="44"/>
      <c r="N365" s="44"/>
      <c r="O365" s="44"/>
      <c r="P365" s="151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44"/>
      <c r="M366" s="44"/>
      <c r="N366" s="44"/>
      <c r="O366" s="44"/>
      <c r="P366" s="151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44"/>
      <c r="M367" s="44"/>
      <c r="N367" s="44"/>
      <c r="O367" s="44"/>
      <c r="P367" s="151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44"/>
      <c r="M368" s="44"/>
      <c r="N368" s="44"/>
      <c r="O368" s="44"/>
      <c r="P368" s="151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44"/>
      <c r="M369" s="44"/>
      <c r="N369" s="44"/>
      <c r="O369" s="44"/>
      <c r="P369" s="151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44"/>
      <c r="M370" s="44"/>
      <c r="N370" s="44"/>
      <c r="O370" s="44"/>
      <c r="P370" s="151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44"/>
      <c r="M371" s="44"/>
      <c r="N371" s="44"/>
      <c r="O371" s="44"/>
      <c r="P371" s="151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44"/>
      <c r="M372" s="44"/>
      <c r="N372" s="44"/>
      <c r="O372" s="44"/>
      <c r="P372" s="151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44"/>
      <c r="M373" s="44"/>
      <c r="N373" s="44"/>
      <c r="O373" s="44"/>
      <c r="P373" s="151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44"/>
      <c r="M374" s="44"/>
      <c r="N374" s="44"/>
      <c r="O374" s="44"/>
      <c r="P374" s="151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44"/>
      <c r="M375" s="44"/>
      <c r="N375" s="44"/>
      <c r="O375" s="44"/>
      <c r="P375" s="151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44"/>
      <c r="M376" s="44"/>
      <c r="N376" s="44"/>
      <c r="O376" s="44"/>
      <c r="P376" s="151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44"/>
      <c r="M377" s="44"/>
      <c r="N377" s="44"/>
      <c r="O377" s="44"/>
      <c r="P377" s="151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44"/>
      <c r="M378" s="44"/>
      <c r="N378" s="44"/>
      <c r="O378" s="44"/>
      <c r="P378" s="151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44"/>
      <c r="M379" s="44"/>
      <c r="N379" s="44"/>
      <c r="O379" s="44"/>
      <c r="P379" s="151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44"/>
      <c r="M380" s="44"/>
      <c r="N380" s="44"/>
      <c r="O380" s="44"/>
      <c r="P380" s="151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44"/>
      <c r="M381" s="44"/>
      <c r="N381" s="44"/>
      <c r="O381" s="44"/>
      <c r="P381" s="151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44"/>
      <c r="M382" s="44"/>
      <c r="N382" s="44"/>
      <c r="O382" s="44"/>
      <c r="P382" s="151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44"/>
      <c r="M383" s="44"/>
      <c r="N383" s="44"/>
      <c r="O383" s="44"/>
      <c r="P383" s="151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44"/>
      <c r="M384" s="44"/>
      <c r="N384" s="44"/>
      <c r="O384" s="44"/>
      <c r="P384" s="151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44"/>
      <c r="M385" s="44"/>
      <c r="N385" s="44"/>
      <c r="O385" s="44"/>
      <c r="P385" s="151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44"/>
      <c r="M386" s="44"/>
      <c r="N386" s="44"/>
      <c r="O386" s="44"/>
      <c r="P386" s="151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44"/>
      <c r="M387" s="44"/>
      <c r="N387" s="44"/>
      <c r="O387" s="44"/>
      <c r="P387" s="151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44"/>
      <c r="M388" s="44"/>
      <c r="N388" s="44"/>
      <c r="O388" s="44"/>
      <c r="P388" s="151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44"/>
      <c r="M389" s="44"/>
      <c r="N389" s="44"/>
      <c r="O389" s="44"/>
      <c r="P389" s="151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44"/>
      <c r="M390" s="44"/>
      <c r="N390" s="44"/>
      <c r="O390" s="44"/>
      <c r="P390" s="151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44"/>
      <c r="M391" s="44"/>
      <c r="N391" s="44"/>
      <c r="O391" s="44"/>
      <c r="P391" s="151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44"/>
      <c r="M392" s="44"/>
      <c r="N392" s="44"/>
      <c r="O392" s="44"/>
      <c r="P392" s="151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44"/>
      <c r="M393" s="44"/>
      <c r="N393" s="44"/>
      <c r="O393" s="44"/>
      <c r="P393" s="151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44"/>
      <c r="M394" s="44"/>
      <c r="N394" s="44"/>
      <c r="O394" s="44"/>
      <c r="P394" s="151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44"/>
      <c r="M395" s="44"/>
      <c r="N395" s="44"/>
      <c r="O395" s="44"/>
      <c r="P395" s="151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44"/>
      <c r="M396" s="44"/>
      <c r="N396" s="44"/>
      <c r="O396" s="44"/>
      <c r="P396" s="151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44"/>
      <c r="M397" s="44"/>
      <c r="N397" s="44"/>
      <c r="O397" s="44"/>
      <c r="P397" s="151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44"/>
      <c r="M398" s="44"/>
      <c r="N398" s="44"/>
      <c r="O398" s="44"/>
      <c r="P398" s="151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44"/>
      <c r="M399" s="44"/>
      <c r="N399" s="44"/>
      <c r="O399" s="44"/>
      <c r="P399" s="151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44"/>
      <c r="M400" s="44"/>
      <c r="N400" s="44"/>
      <c r="O400" s="44"/>
      <c r="P400" s="151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44"/>
      <c r="M401" s="44"/>
      <c r="N401" s="44"/>
      <c r="O401" s="44"/>
      <c r="P401" s="151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44"/>
      <c r="M402" s="44"/>
      <c r="N402" s="44"/>
      <c r="O402" s="44"/>
      <c r="P402" s="151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44"/>
      <c r="M403" s="44"/>
      <c r="N403" s="44"/>
      <c r="O403" s="44"/>
      <c r="P403" s="151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44"/>
      <c r="M404" s="44"/>
      <c r="N404" s="44"/>
      <c r="O404" s="44"/>
      <c r="P404" s="151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44"/>
      <c r="M405" s="44"/>
      <c r="N405" s="44"/>
      <c r="O405" s="44"/>
      <c r="P405" s="151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44"/>
      <c r="M406" s="44"/>
      <c r="N406" s="44"/>
      <c r="O406" s="44"/>
      <c r="P406" s="151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44"/>
      <c r="M407" s="44"/>
      <c r="N407" s="44"/>
      <c r="O407" s="44"/>
      <c r="P407" s="151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44"/>
      <c r="M408" s="44"/>
      <c r="N408" s="44"/>
      <c r="O408" s="44"/>
      <c r="P408" s="151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44"/>
      <c r="M409" s="44"/>
      <c r="N409" s="44"/>
      <c r="O409" s="44"/>
      <c r="P409" s="151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44"/>
      <c r="M410" s="44"/>
      <c r="N410" s="44"/>
      <c r="O410" s="44"/>
      <c r="P410" s="151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44"/>
      <c r="M411" s="44"/>
      <c r="N411" s="44"/>
      <c r="O411" s="44"/>
      <c r="P411" s="151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44"/>
      <c r="M412" s="44"/>
      <c r="N412" s="44"/>
      <c r="O412" s="44"/>
      <c r="P412" s="151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44"/>
      <c r="M413" s="44"/>
      <c r="N413" s="44"/>
      <c r="O413" s="44"/>
      <c r="P413" s="151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44"/>
      <c r="M414" s="44"/>
      <c r="N414" s="44"/>
      <c r="O414" s="44"/>
      <c r="P414" s="151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44"/>
      <c r="M415" s="44"/>
      <c r="N415" s="44"/>
      <c r="O415" s="44"/>
      <c r="P415" s="151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44"/>
      <c r="M416" s="44"/>
      <c r="N416" s="44"/>
      <c r="O416" s="44"/>
      <c r="P416" s="151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44"/>
      <c r="M417" s="44"/>
      <c r="N417" s="44"/>
      <c r="O417" s="44"/>
      <c r="P417" s="151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44"/>
      <c r="M418" s="44"/>
      <c r="N418" s="44"/>
      <c r="O418" s="44"/>
      <c r="P418" s="151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44"/>
      <c r="M419" s="44"/>
      <c r="N419" s="44"/>
      <c r="O419" s="44"/>
      <c r="P419" s="151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44"/>
      <c r="M420" s="44"/>
      <c r="N420" s="44"/>
      <c r="O420" s="44"/>
      <c r="P420" s="151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44"/>
      <c r="M421" s="44"/>
      <c r="N421" s="44"/>
      <c r="O421" s="44"/>
      <c r="P421" s="151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44"/>
      <c r="M422" s="44"/>
      <c r="N422" s="44"/>
      <c r="O422" s="44"/>
      <c r="P422" s="151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44"/>
      <c r="M423" s="44"/>
      <c r="N423" s="44"/>
      <c r="O423" s="44"/>
      <c r="P423" s="151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44"/>
      <c r="M424" s="44"/>
      <c r="N424" s="44"/>
      <c r="O424" s="44"/>
      <c r="P424" s="151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44"/>
      <c r="M425" s="44"/>
      <c r="N425" s="44"/>
      <c r="O425" s="44"/>
      <c r="P425" s="151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44"/>
      <c r="M426" s="44"/>
      <c r="N426" s="44"/>
      <c r="O426" s="44"/>
      <c r="P426" s="151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44"/>
      <c r="M427" s="44"/>
      <c r="N427" s="44"/>
      <c r="O427" s="44"/>
      <c r="P427" s="151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44"/>
      <c r="M428" s="44"/>
      <c r="N428" s="44"/>
      <c r="O428" s="44"/>
      <c r="P428" s="151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44"/>
      <c r="M429" s="44"/>
      <c r="N429" s="44"/>
      <c r="O429" s="44"/>
      <c r="P429" s="151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44"/>
      <c r="M430" s="44"/>
      <c r="N430" s="44"/>
      <c r="O430" s="44"/>
      <c r="P430" s="151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44"/>
      <c r="M431" s="44"/>
      <c r="N431" s="44"/>
      <c r="O431" s="44"/>
      <c r="P431" s="151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44"/>
      <c r="M432" s="44"/>
      <c r="N432" s="44"/>
      <c r="O432" s="44"/>
      <c r="P432" s="151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44"/>
      <c r="M433" s="44"/>
      <c r="N433" s="44"/>
      <c r="O433" s="44"/>
      <c r="P433" s="151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44"/>
      <c r="M434" s="44"/>
      <c r="N434" s="44"/>
      <c r="O434" s="44"/>
      <c r="P434" s="151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44"/>
      <c r="M435" s="44"/>
      <c r="N435" s="44"/>
      <c r="O435" s="44"/>
      <c r="P435" s="151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44"/>
      <c r="M436" s="44"/>
      <c r="N436" s="44"/>
      <c r="O436" s="44"/>
      <c r="P436" s="151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44"/>
      <c r="M437" s="44"/>
      <c r="N437" s="44"/>
      <c r="O437" s="44"/>
      <c r="P437" s="151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44"/>
      <c r="M438" s="44"/>
      <c r="N438" s="44"/>
      <c r="O438" s="44"/>
      <c r="P438" s="151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44"/>
      <c r="M439" s="44"/>
      <c r="N439" s="44"/>
      <c r="O439" s="44"/>
      <c r="P439" s="151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44"/>
      <c r="M440" s="44"/>
      <c r="N440" s="44"/>
      <c r="O440" s="44"/>
      <c r="P440" s="151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44"/>
      <c r="M441" s="44"/>
      <c r="N441" s="44"/>
      <c r="O441" s="44"/>
      <c r="P441" s="151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44"/>
      <c r="M442" s="44"/>
      <c r="N442" s="44"/>
      <c r="O442" s="44"/>
      <c r="P442" s="151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44"/>
      <c r="M443" s="44"/>
      <c r="N443" s="44"/>
      <c r="O443" s="44"/>
      <c r="P443" s="151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44"/>
      <c r="M444" s="44"/>
      <c r="N444" s="44"/>
      <c r="O444" s="44"/>
      <c r="P444" s="151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44"/>
      <c r="M445" s="44"/>
      <c r="N445" s="44"/>
      <c r="O445" s="44"/>
      <c r="P445" s="151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44"/>
      <c r="M446" s="44"/>
      <c r="N446" s="44"/>
      <c r="O446" s="44"/>
      <c r="P446" s="151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44"/>
      <c r="M447" s="44"/>
      <c r="N447" s="44"/>
      <c r="O447" s="44"/>
      <c r="P447" s="151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44"/>
      <c r="M448" s="44"/>
      <c r="N448" s="44"/>
      <c r="O448" s="44"/>
      <c r="P448" s="151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44"/>
      <c r="M449" s="44"/>
      <c r="N449" s="44"/>
      <c r="O449" s="44"/>
      <c r="P449" s="151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44"/>
      <c r="M450" s="44"/>
      <c r="N450" s="44"/>
      <c r="O450" s="44"/>
      <c r="P450" s="151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44"/>
      <c r="M451" s="44"/>
      <c r="N451" s="44"/>
      <c r="O451" s="44"/>
      <c r="P451" s="151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44"/>
      <c r="M452" s="44"/>
      <c r="N452" s="44"/>
      <c r="O452" s="44"/>
      <c r="P452" s="151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44"/>
      <c r="M453" s="44"/>
      <c r="N453" s="44"/>
      <c r="O453" s="44"/>
      <c r="P453" s="151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44"/>
      <c r="M454" s="44"/>
      <c r="N454" s="44"/>
      <c r="O454" s="44"/>
      <c r="P454" s="151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44"/>
      <c r="M455" s="44"/>
      <c r="N455" s="44"/>
      <c r="O455" s="44"/>
      <c r="P455" s="151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44"/>
      <c r="M456" s="44"/>
      <c r="N456" s="44"/>
      <c r="O456" s="44"/>
      <c r="P456" s="151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44"/>
      <c r="M457" s="44"/>
      <c r="N457" s="44"/>
      <c r="O457" s="44"/>
      <c r="P457" s="151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44"/>
      <c r="M458" s="44"/>
      <c r="N458" s="44"/>
      <c r="O458" s="44"/>
      <c r="P458" s="151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44"/>
      <c r="M459" s="44"/>
      <c r="N459" s="44"/>
      <c r="O459" s="44"/>
      <c r="P459" s="151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44"/>
      <c r="M460" s="44"/>
      <c r="N460" s="44"/>
      <c r="O460" s="44"/>
      <c r="P460" s="151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44"/>
      <c r="M461" s="44"/>
      <c r="N461" s="44"/>
      <c r="O461" s="44"/>
      <c r="P461" s="151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44"/>
      <c r="M462" s="44"/>
      <c r="N462" s="44"/>
      <c r="O462" s="44"/>
      <c r="P462" s="151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44"/>
      <c r="M463" s="44"/>
      <c r="N463" s="44"/>
      <c r="O463" s="44"/>
      <c r="P463" s="151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44"/>
      <c r="M464" s="44"/>
      <c r="N464" s="44"/>
      <c r="O464" s="44"/>
      <c r="P464" s="151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44"/>
      <c r="M465" s="44"/>
      <c r="N465" s="44"/>
      <c r="O465" s="44"/>
      <c r="P465" s="151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44"/>
      <c r="M466" s="44"/>
      <c r="N466" s="44"/>
      <c r="O466" s="44"/>
      <c r="P466" s="151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44"/>
      <c r="M467" s="44"/>
      <c r="N467" s="44"/>
      <c r="O467" s="44"/>
      <c r="P467" s="151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44"/>
      <c r="M468" s="44"/>
      <c r="N468" s="44"/>
      <c r="O468" s="44"/>
      <c r="P468" s="151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44"/>
      <c r="M469" s="44"/>
      <c r="N469" s="44"/>
      <c r="O469" s="44"/>
      <c r="P469" s="151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44"/>
      <c r="M470" s="44"/>
      <c r="N470" s="44"/>
      <c r="O470" s="44"/>
      <c r="P470" s="151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44"/>
      <c r="M471" s="44"/>
      <c r="N471" s="44"/>
      <c r="O471" s="44"/>
      <c r="P471" s="151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44"/>
      <c r="M472" s="44"/>
      <c r="N472" s="44"/>
      <c r="O472" s="44"/>
      <c r="P472" s="151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44"/>
      <c r="M473" s="44"/>
      <c r="N473" s="44"/>
      <c r="O473" s="44"/>
      <c r="P473" s="151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44"/>
      <c r="M474" s="44"/>
      <c r="N474" s="44"/>
      <c r="O474" s="44"/>
      <c r="P474" s="151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44"/>
      <c r="M475" s="44"/>
      <c r="N475" s="44"/>
      <c r="O475" s="44"/>
      <c r="P475" s="151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44"/>
      <c r="M476" s="44"/>
      <c r="N476" s="44"/>
      <c r="O476" s="44"/>
      <c r="P476" s="151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44"/>
      <c r="M477" s="44"/>
      <c r="N477" s="44"/>
      <c r="O477" s="44"/>
      <c r="P477" s="151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44"/>
      <c r="M478" s="44"/>
      <c r="N478" s="44"/>
      <c r="O478" s="44"/>
      <c r="P478" s="151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44"/>
      <c r="M479" s="44"/>
      <c r="N479" s="44"/>
      <c r="O479" s="44"/>
      <c r="P479" s="151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44"/>
      <c r="M480" s="44"/>
      <c r="N480" s="44"/>
      <c r="O480" s="44"/>
      <c r="P480" s="151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44"/>
      <c r="M481" s="44"/>
      <c r="N481" s="44"/>
      <c r="O481" s="44"/>
      <c r="P481" s="151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44"/>
      <c r="M482" s="44"/>
      <c r="N482" s="44"/>
      <c r="O482" s="44"/>
      <c r="P482" s="151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44"/>
      <c r="M483" s="44"/>
      <c r="N483" s="44"/>
      <c r="O483" s="44"/>
      <c r="P483" s="151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44"/>
      <c r="M484" s="44"/>
      <c r="N484" s="44"/>
      <c r="O484" s="44"/>
      <c r="P484" s="151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44"/>
      <c r="M485" s="44"/>
      <c r="N485" s="44"/>
      <c r="O485" s="44"/>
      <c r="P485" s="151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44"/>
      <c r="M486" s="44"/>
      <c r="N486" s="44"/>
      <c r="O486" s="44"/>
      <c r="P486" s="151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44"/>
      <c r="M487" s="44"/>
      <c r="N487" s="44"/>
      <c r="O487" s="44"/>
      <c r="P487" s="151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44"/>
      <c r="M488" s="44"/>
      <c r="N488" s="44"/>
      <c r="O488" s="44"/>
      <c r="P488" s="151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44"/>
      <c r="M489" s="44"/>
      <c r="N489" s="44"/>
      <c r="O489" s="44"/>
      <c r="P489" s="151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44"/>
      <c r="M490" s="44"/>
      <c r="N490" s="44"/>
      <c r="O490" s="44"/>
      <c r="P490" s="151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44"/>
      <c r="M491" s="44"/>
      <c r="N491" s="44"/>
      <c r="O491" s="44"/>
      <c r="P491" s="151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44"/>
      <c r="M492" s="44"/>
      <c r="N492" s="44"/>
      <c r="O492" s="44"/>
      <c r="P492" s="151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44"/>
      <c r="M493" s="44"/>
      <c r="N493" s="44"/>
      <c r="O493" s="44"/>
      <c r="P493" s="151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44"/>
      <c r="M494" s="44"/>
      <c r="N494" s="44"/>
      <c r="O494" s="44"/>
      <c r="P494" s="151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44"/>
      <c r="M495" s="44"/>
      <c r="N495" s="44"/>
      <c r="O495" s="44"/>
      <c r="P495" s="151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44"/>
      <c r="M496" s="44"/>
      <c r="N496" s="44"/>
      <c r="O496" s="44"/>
      <c r="P496" s="151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44"/>
      <c r="M497" s="44"/>
      <c r="N497" s="44"/>
      <c r="O497" s="44"/>
      <c r="P497" s="151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44"/>
      <c r="M498" s="44"/>
      <c r="N498" s="44"/>
      <c r="O498" s="44"/>
      <c r="P498" s="151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44"/>
      <c r="M499" s="44"/>
      <c r="N499" s="44"/>
      <c r="O499" s="44"/>
      <c r="P499" s="151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44"/>
      <c r="M500" s="44"/>
      <c r="N500" s="44"/>
      <c r="O500" s="44"/>
      <c r="P500" s="151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44"/>
      <c r="M501" s="44"/>
      <c r="N501" s="44"/>
      <c r="O501" s="44"/>
      <c r="P501" s="151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44"/>
      <c r="M502" s="44"/>
      <c r="N502" s="44"/>
      <c r="O502" s="44"/>
      <c r="P502" s="151"/>
      <c r="Q502" s="44"/>
      <c r="R502" s="124"/>
    </row>
    <row r="503" ht="15.75" customHeight="1">
      <c r="A503" s="44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44"/>
      <c r="M503" s="44"/>
      <c r="N503" s="44"/>
      <c r="O503" s="44"/>
      <c r="P503" s="151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15.7216088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46" t="s">
        <v>338</v>
      </c>
      <c r="C3" s="47" t="s">
        <v>339</v>
      </c>
      <c r="D3" s="49" t="s">
        <v>340</v>
      </c>
      <c r="E3" s="46" t="s">
        <v>341</v>
      </c>
      <c r="F3" s="47" t="s">
        <v>342</v>
      </c>
      <c r="G3" s="49" t="s">
        <v>343</v>
      </c>
      <c r="H3" s="46"/>
      <c r="I3" s="47"/>
      <c r="J3" s="49"/>
      <c r="K3" s="51" t="s">
        <v>344</v>
      </c>
      <c r="L3" s="108" t="s">
        <v>345</v>
      </c>
      <c r="M3" s="39"/>
      <c r="N3" s="39"/>
      <c r="O3" s="38"/>
      <c r="P3" s="52">
        <v>12.27869212962963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57" t="s">
        <v>346</v>
      </c>
      <c r="C4" s="59" t="s">
        <v>347</v>
      </c>
      <c r="D4" s="61" t="s">
        <v>348</v>
      </c>
      <c r="E4" s="57"/>
      <c r="F4" s="59"/>
      <c r="G4" s="61"/>
      <c r="H4" s="57"/>
      <c r="I4" s="59"/>
      <c r="J4" s="61"/>
      <c r="K4" s="64" t="s">
        <v>348</v>
      </c>
      <c r="L4" s="68"/>
      <c r="M4" s="44"/>
      <c r="N4" s="44"/>
      <c r="O4" s="44"/>
      <c r="P4" s="65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57" t="s">
        <v>349</v>
      </c>
      <c r="C5" s="59" t="s">
        <v>350</v>
      </c>
      <c r="D5" s="61" t="s">
        <v>351</v>
      </c>
      <c r="E5" s="57"/>
      <c r="F5" s="59"/>
      <c r="G5" s="61"/>
      <c r="H5" s="57"/>
      <c r="I5" s="59"/>
      <c r="J5" s="61"/>
      <c r="K5" s="64" t="s">
        <v>351</v>
      </c>
      <c r="L5" s="66">
        <v>0.008333333333333333</v>
      </c>
      <c r="M5" s="44"/>
      <c r="N5" s="44"/>
      <c r="O5" s="44"/>
      <c r="P5" s="65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57" t="s">
        <v>352</v>
      </c>
      <c r="C6" s="59" t="s">
        <v>353</v>
      </c>
      <c r="D6" s="61" t="s">
        <v>354</v>
      </c>
      <c r="E6" s="57"/>
      <c r="F6" s="59"/>
      <c r="G6" s="61"/>
      <c r="H6" s="57"/>
      <c r="I6" s="59"/>
      <c r="J6" s="61"/>
      <c r="K6" s="64" t="s">
        <v>354</v>
      </c>
      <c r="L6" s="68"/>
      <c r="M6" s="44"/>
      <c r="N6" s="44"/>
      <c r="O6" s="44"/>
      <c r="P6" s="65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74" t="s">
        <v>355</v>
      </c>
      <c r="C7" s="76" t="s">
        <v>356</v>
      </c>
      <c r="D7" s="78" t="s">
        <v>357</v>
      </c>
      <c r="E7" s="74"/>
      <c r="F7" s="76"/>
      <c r="G7" s="78"/>
      <c r="H7" s="74"/>
      <c r="I7" s="76"/>
      <c r="J7" s="78"/>
      <c r="K7" s="80" t="s">
        <v>357</v>
      </c>
      <c r="L7" s="88"/>
      <c r="M7" s="44"/>
      <c r="N7" s="44"/>
      <c r="O7" s="44"/>
      <c r="P7" s="65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3"/>
      <c r="C8" s="83"/>
      <c r="D8" s="85"/>
      <c r="E8" s="83"/>
      <c r="F8" s="83"/>
      <c r="G8" s="85"/>
      <c r="H8" s="83"/>
      <c r="I8" s="83"/>
      <c r="J8" s="85"/>
      <c r="K8" s="85"/>
      <c r="L8" s="88"/>
      <c r="M8" s="44"/>
      <c r="N8" s="44"/>
      <c r="O8" s="44"/>
      <c r="P8" s="65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91"/>
      <c r="C9" s="91"/>
      <c r="D9" s="89"/>
      <c r="E9" s="91"/>
      <c r="F9" s="91"/>
      <c r="G9" s="89"/>
      <c r="H9" s="91"/>
      <c r="I9" s="91"/>
      <c r="J9" s="89"/>
      <c r="K9" s="89"/>
      <c r="L9" s="93"/>
      <c r="M9" s="94"/>
      <c r="N9" s="94"/>
      <c r="O9" s="92"/>
      <c r="P9" s="95">
        <f>SUMPRODUCT(VALUE(K3:K7))-(SUM(L3:L7))</f>
        <v>0.9159722222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46" t="s">
        <v>358</v>
      </c>
      <c r="C10" s="47" t="s">
        <v>359</v>
      </c>
      <c r="D10" s="49" t="s">
        <v>360</v>
      </c>
      <c r="E10" s="46" t="s">
        <v>361</v>
      </c>
      <c r="F10" s="47" t="s">
        <v>362</v>
      </c>
      <c r="G10" s="49" t="s">
        <v>363</v>
      </c>
      <c r="H10" s="46"/>
      <c r="I10" s="47"/>
      <c r="J10" s="49"/>
      <c r="K10" s="51" t="s">
        <v>364</v>
      </c>
      <c r="L10" s="53">
        <v>0.007430555555555556</v>
      </c>
      <c r="M10" s="39"/>
      <c r="N10" s="39"/>
      <c r="O10" s="38"/>
      <c r="P10" s="98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57" t="s">
        <v>365</v>
      </c>
      <c r="C11" s="59" t="s">
        <v>366</v>
      </c>
      <c r="D11" s="61" t="s">
        <v>367</v>
      </c>
      <c r="E11" s="57"/>
      <c r="F11" s="59"/>
      <c r="G11" s="61"/>
      <c r="H11" s="57"/>
      <c r="I11" s="59"/>
      <c r="J11" s="61"/>
      <c r="K11" s="64" t="s">
        <v>367</v>
      </c>
      <c r="L11" s="66">
        <v>0.0121412037037037</v>
      </c>
      <c r="M11" s="44"/>
      <c r="N11" s="44"/>
      <c r="O11" s="44"/>
      <c r="P11" s="65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57" t="s">
        <v>368</v>
      </c>
      <c r="C12" s="59" t="s">
        <v>369</v>
      </c>
      <c r="D12" s="61" t="s">
        <v>370</v>
      </c>
      <c r="E12" s="57"/>
      <c r="F12" s="59"/>
      <c r="G12" s="61"/>
      <c r="H12" s="57"/>
      <c r="I12" s="59"/>
      <c r="J12" s="61"/>
      <c r="K12" s="64" t="s">
        <v>370</v>
      </c>
      <c r="L12" s="66">
        <v>0.009976851851851851</v>
      </c>
      <c r="M12" s="44"/>
      <c r="N12" s="44"/>
      <c r="O12" s="44"/>
      <c r="P12" s="65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57" t="s">
        <v>371</v>
      </c>
      <c r="C13" s="59" t="s">
        <v>372</v>
      </c>
      <c r="D13" s="61" t="s">
        <v>373</v>
      </c>
      <c r="E13" s="57"/>
      <c r="F13" s="59"/>
      <c r="G13" s="61"/>
      <c r="H13" s="57"/>
      <c r="I13" s="59"/>
      <c r="J13" s="61"/>
      <c r="K13" s="64" t="s">
        <v>373</v>
      </c>
      <c r="L13" s="66">
        <v>0.00349537037037037</v>
      </c>
      <c r="M13" s="44"/>
      <c r="N13" s="44"/>
      <c r="O13" s="44"/>
      <c r="P13" s="65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74" t="s">
        <v>374</v>
      </c>
      <c r="C14" s="76" t="s">
        <v>375</v>
      </c>
      <c r="D14" s="78" t="s">
        <v>376</v>
      </c>
      <c r="E14" s="74"/>
      <c r="F14" s="76"/>
      <c r="G14" s="78"/>
      <c r="H14" s="74"/>
      <c r="I14" s="76"/>
      <c r="J14" s="78"/>
      <c r="K14" s="80" t="s">
        <v>376</v>
      </c>
      <c r="L14" s="82">
        <v>0.003553240740740741</v>
      </c>
      <c r="M14" s="44"/>
      <c r="N14" s="44"/>
      <c r="O14" s="44"/>
      <c r="P14" s="65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3"/>
      <c r="C15" s="83"/>
      <c r="D15" s="85"/>
      <c r="E15" s="83"/>
      <c r="F15" s="83"/>
      <c r="G15" s="85"/>
      <c r="H15" s="83"/>
      <c r="I15" s="83"/>
      <c r="J15" s="85"/>
      <c r="K15" s="85"/>
      <c r="L15" s="88"/>
      <c r="M15" s="44"/>
      <c r="N15" s="44"/>
      <c r="O15" s="44"/>
      <c r="P15" s="65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91"/>
      <c r="C16" s="91"/>
      <c r="D16" s="89"/>
      <c r="E16" s="91"/>
      <c r="F16" s="91"/>
      <c r="G16" s="89"/>
      <c r="H16" s="91"/>
      <c r="I16" s="91"/>
      <c r="J16" s="89"/>
      <c r="K16" s="89"/>
      <c r="L16" s="93"/>
      <c r="M16" s="94"/>
      <c r="N16" s="94"/>
      <c r="O16" s="92"/>
      <c r="P16" s="95">
        <f>SUMPRODUCT(VALUE(K10:K14))-(SUM(L10:L14))</f>
        <v>0.8333333333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46" t="s">
        <v>377</v>
      </c>
      <c r="C17" s="47" t="s">
        <v>378</v>
      </c>
      <c r="D17" s="49" t="s">
        <v>379</v>
      </c>
      <c r="E17" s="46" t="s">
        <v>380</v>
      </c>
      <c r="F17" s="47" t="s">
        <v>381</v>
      </c>
      <c r="G17" s="49" t="s">
        <v>382</v>
      </c>
      <c r="H17" s="46"/>
      <c r="I17" s="47"/>
      <c r="J17" s="49"/>
      <c r="K17" s="51" t="s">
        <v>383</v>
      </c>
      <c r="L17" s="108"/>
      <c r="M17" s="39"/>
      <c r="N17" s="39"/>
      <c r="O17" s="38"/>
      <c r="P17" s="98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57" t="s">
        <v>384</v>
      </c>
      <c r="C18" s="59" t="s">
        <v>139</v>
      </c>
      <c r="D18" s="61" t="s">
        <v>385</v>
      </c>
      <c r="E18" s="57"/>
      <c r="F18" s="59"/>
      <c r="G18" s="61"/>
      <c r="H18" s="57"/>
      <c r="I18" s="59"/>
      <c r="J18" s="61"/>
      <c r="K18" s="64" t="s">
        <v>385</v>
      </c>
      <c r="L18" s="66">
        <v>0.009027777777777777</v>
      </c>
      <c r="M18" s="44"/>
      <c r="N18" s="44"/>
      <c r="O18" s="44"/>
      <c r="P18" s="65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57" t="s">
        <v>386</v>
      </c>
      <c r="C19" s="59" t="s">
        <v>387</v>
      </c>
      <c r="D19" s="61" t="s">
        <v>388</v>
      </c>
      <c r="E19" s="57"/>
      <c r="F19" s="59"/>
      <c r="G19" s="61"/>
      <c r="H19" s="57"/>
      <c r="I19" s="59"/>
      <c r="J19" s="61"/>
      <c r="K19" s="64" t="s">
        <v>388</v>
      </c>
      <c r="L19" s="66">
        <v>0.009722222222222222</v>
      </c>
      <c r="M19" s="44"/>
      <c r="N19" s="44"/>
      <c r="O19" s="44"/>
      <c r="P19" s="65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57" t="s">
        <v>389</v>
      </c>
      <c r="C20" s="59" t="s">
        <v>390</v>
      </c>
      <c r="D20" s="61" t="s">
        <v>391</v>
      </c>
      <c r="E20" s="57"/>
      <c r="F20" s="59"/>
      <c r="G20" s="61"/>
      <c r="H20" s="57"/>
      <c r="I20" s="59"/>
      <c r="J20" s="61"/>
      <c r="K20" s="64" t="s">
        <v>391</v>
      </c>
      <c r="L20" s="66">
        <v>0.009722222222222222</v>
      </c>
      <c r="M20" s="44"/>
      <c r="N20" s="44"/>
      <c r="O20" s="44"/>
      <c r="P20" s="65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74" t="s">
        <v>392</v>
      </c>
      <c r="C21" s="76" t="s">
        <v>393</v>
      </c>
      <c r="D21" s="78" t="s">
        <v>394</v>
      </c>
      <c r="E21" s="74"/>
      <c r="F21" s="76"/>
      <c r="G21" s="78"/>
      <c r="H21" s="74"/>
      <c r="I21" s="76"/>
      <c r="J21" s="78"/>
      <c r="K21" s="80" t="s">
        <v>394</v>
      </c>
      <c r="L21" s="88"/>
      <c r="M21" s="44"/>
      <c r="N21" s="44"/>
      <c r="O21" s="44"/>
      <c r="P21" s="65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3"/>
      <c r="C22" s="83"/>
      <c r="D22" s="85"/>
      <c r="E22" s="83"/>
      <c r="F22" s="83"/>
      <c r="G22" s="85"/>
      <c r="H22" s="83"/>
      <c r="I22" s="83"/>
      <c r="J22" s="85"/>
      <c r="K22" s="85"/>
      <c r="L22" s="88"/>
      <c r="M22" s="44"/>
      <c r="N22" s="44"/>
      <c r="O22" s="44"/>
      <c r="P22" s="65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91"/>
      <c r="C23" s="91"/>
      <c r="D23" s="89"/>
      <c r="E23" s="91"/>
      <c r="F23" s="91"/>
      <c r="G23" s="89"/>
      <c r="H23" s="91"/>
      <c r="I23" s="91"/>
      <c r="J23" s="89"/>
      <c r="K23" s="89"/>
      <c r="L23" s="93"/>
      <c r="M23" s="94"/>
      <c r="N23" s="94"/>
      <c r="O23" s="92"/>
      <c r="P23" s="95">
        <f>SUMPRODUCT(VALUE(K17:K21))-(SUM(L17:L21))</f>
        <v>0.8355439815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46"/>
      <c r="C24" s="47"/>
      <c r="D24" s="49"/>
      <c r="E24" s="46"/>
      <c r="F24" s="47"/>
      <c r="G24" s="49"/>
      <c r="H24" s="46"/>
      <c r="I24" s="47"/>
      <c r="J24" s="49"/>
      <c r="K24" s="51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57" t="s">
        <v>395</v>
      </c>
      <c r="C25" s="59" t="s">
        <v>396</v>
      </c>
      <c r="D25" s="61" t="s">
        <v>397</v>
      </c>
      <c r="E25" s="57"/>
      <c r="F25" s="59"/>
      <c r="G25" s="61"/>
      <c r="H25" s="57"/>
      <c r="I25" s="59"/>
      <c r="J25" s="61"/>
      <c r="K25" s="64" t="s">
        <v>397</v>
      </c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57" t="s">
        <v>398</v>
      </c>
      <c r="C26" s="59" t="s">
        <v>399</v>
      </c>
      <c r="D26" s="61" t="s">
        <v>400</v>
      </c>
      <c r="E26" s="57"/>
      <c r="F26" s="59"/>
      <c r="G26" s="61"/>
      <c r="H26" s="57"/>
      <c r="I26" s="59"/>
      <c r="J26" s="61"/>
      <c r="K26" s="64" t="s">
        <v>400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57" t="s">
        <v>401</v>
      </c>
      <c r="C27" s="59" t="s">
        <v>402</v>
      </c>
      <c r="D27" s="61" t="s">
        <v>403</v>
      </c>
      <c r="E27" s="57"/>
      <c r="F27" s="59"/>
      <c r="G27" s="61"/>
      <c r="H27" s="57"/>
      <c r="I27" s="59"/>
      <c r="J27" s="61"/>
      <c r="K27" s="64" t="s">
        <v>403</v>
      </c>
      <c r="L27" s="66">
        <v>0.04166666666666666</v>
      </c>
      <c r="M27" s="44"/>
      <c r="N27" s="44" t="s">
        <v>196</v>
      </c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74" t="s">
        <v>404</v>
      </c>
      <c r="C28" s="76" t="s">
        <v>405</v>
      </c>
      <c r="D28" s="78" t="s">
        <v>406</v>
      </c>
      <c r="E28" s="74"/>
      <c r="F28" s="76"/>
      <c r="G28" s="78"/>
      <c r="H28" s="74"/>
      <c r="I28" s="76"/>
      <c r="J28" s="78"/>
      <c r="K28" s="80" t="s">
        <v>406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3"/>
      <c r="C29" s="83"/>
      <c r="D29" s="85"/>
      <c r="E29" s="83"/>
      <c r="F29" s="83"/>
      <c r="G29" s="85"/>
      <c r="H29" s="83"/>
      <c r="I29" s="83"/>
      <c r="J29" s="85"/>
      <c r="K29" s="85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91"/>
      <c r="C30" s="91"/>
      <c r="D30" s="89"/>
      <c r="E30" s="91"/>
      <c r="F30" s="91"/>
      <c r="G30" s="89"/>
      <c r="H30" s="91"/>
      <c r="I30" s="91"/>
      <c r="J30" s="89"/>
      <c r="K30" s="89"/>
      <c r="L30" s="93"/>
      <c r="M30" s="94"/>
      <c r="N30" s="94"/>
      <c r="O30" s="92"/>
      <c r="P30" s="95">
        <f>SUMPRODUCT(VALUE(K24:K28))-(SUM(L24:L28))</f>
        <v>0.645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46" t="s">
        <v>407</v>
      </c>
      <c r="C31" s="47" t="s">
        <v>408</v>
      </c>
      <c r="D31" s="49" t="s">
        <v>409</v>
      </c>
      <c r="E31" s="46"/>
      <c r="F31" s="47"/>
      <c r="G31" s="49"/>
      <c r="H31" s="46"/>
      <c r="I31" s="47"/>
      <c r="J31" s="49"/>
      <c r="K31" s="51" t="s">
        <v>409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57" t="s">
        <v>410</v>
      </c>
      <c r="C32" s="59" t="s">
        <v>411</v>
      </c>
      <c r="D32" s="61" t="s">
        <v>412</v>
      </c>
      <c r="E32" s="57"/>
      <c r="F32" s="59"/>
      <c r="G32" s="61"/>
      <c r="H32" s="57"/>
      <c r="I32" s="59"/>
      <c r="J32" s="61"/>
      <c r="K32" s="64" t="s">
        <v>412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57" t="s">
        <v>413</v>
      </c>
      <c r="C33" s="59"/>
      <c r="D33" s="61" t="s">
        <v>137</v>
      </c>
      <c r="E33" s="57"/>
      <c r="F33" s="59"/>
      <c r="G33" s="61"/>
      <c r="H33" s="57"/>
      <c r="I33" s="59"/>
      <c r="J33" s="61"/>
      <c r="K33" s="64" t="s">
        <v>137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57" t="s">
        <v>414</v>
      </c>
      <c r="C34" s="59"/>
      <c r="D34" s="61" t="s">
        <v>137</v>
      </c>
      <c r="E34" s="57"/>
      <c r="F34" s="59"/>
      <c r="G34" s="61"/>
      <c r="H34" s="57"/>
      <c r="I34" s="59"/>
      <c r="J34" s="61"/>
      <c r="K34" s="64" t="s">
        <v>137</v>
      </c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74"/>
      <c r="C35" s="76"/>
      <c r="D35" s="78"/>
      <c r="E35" s="74"/>
      <c r="F35" s="76"/>
      <c r="G35" s="78"/>
      <c r="H35" s="74"/>
      <c r="I35" s="76"/>
      <c r="J35" s="78"/>
      <c r="K35" s="80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3"/>
      <c r="C36" s="83"/>
      <c r="D36" s="85"/>
      <c r="E36" s="83"/>
      <c r="F36" s="83"/>
      <c r="G36" s="85"/>
      <c r="H36" s="83"/>
      <c r="I36" s="83"/>
      <c r="J36" s="85"/>
      <c r="K36" s="85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91"/>
      <c r="C37" s="91"/>
      <c r="D37" s="89"/>
      <c r="E37" s="91"/>
      <c r="F37" s="91"/>
      <c r="G37" s="89"/>
      <c r="H37" s="91"/>
      <c r="I37" s="91"/>
      <c r="J37" s="89"/>
      <c r="K37" s="89"/>
      <c r="L37" s="93"/>
      <c r="M37" s="94"/>
      <c r="N37" s="94"/>
      <c r="O37" s="92"/>
      <c r="P37" s="95">
        <f>SUMPRODUCT(VALUE(K31:K35))-(SUM(L31:L35))</f>
        <v>0.2130671296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46"/>
      <c r="C38" s="47"/>
      <c r="D38" s="49"/>
      <c r="E38" s="46"/>
      <c r="F38" s="47"/>
      <c r="G38" s="49"/>
      <c r="H38" s="46"/>
      <c r="I38" s="47"/>
      <c r="J38" s="49"/>
      <c r="K38" s="51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57"/>
      <c r="C39" s="59"/>
      <c r="D39" s="61"/>
      <c r="E39" s="57"/>
      <c r="F39" s="59"/>
      <c r="G39" s="61"/>
      <c r="H39" s="57"/>
      <c r="I39" s="59"/>
      <c r="J39" s="61"/>
      <c r="K39" s="64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57"/>
      <c r="C40" s="59"/>
      <c r="D40" s="61"/>
      <c r="E40" s="57"/>
      <c r="F40" s="59"/>
      <c r="G40" s="61"/>
      <c r="H40" s="57"/>
      <c r="I40" s="59"/>
      <c r="J40" s="61"/>
      <c r="K40" s="64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57"/>
      <c r="C41" s="59"/>
      <c r="D41" s="61"/>
      <c r="E41" s="57"/>
      <c r="F41" s="59"/>
      <c r="G41" s="61"/>
      <c r="H41" s="57"/>
      <c r="I41" s="59"/>
      <c r="J41" s="61"/>
      <c r="K41" s="64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74"/>
      <c r="C42" s="76"/>
      <c r="D42" s="78"/>
      <c r="E42" s="74"/>
      <c r="F42" s="76"/>
      <c r="G42" s="78"/>
      <c r="H42" s="74"/>
      <c r="I42" s="76"/>
      <c r="J42" s="78"/>
      <c r="K42" s="80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3"/>
      <c r="C43" s="83"/>
      <c r="D43" s="85"/>
      <c r="E43" s="83"/>
      <c r="F43" s="83"/>
      <c r="G43" s="85"/>
      <c r="H43" s="83"/>
      <c r="I43" s="83"/>
      <c r="J43" s="85"/>
      <c r="K43" s="85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91"/>
      <c r="C44" s="91"/>
      <c r="D44" s="89"/>
      <c r="E44" s="91"/>
      <c r="F44" s="91"/>
      <c r="G44" s="89"/>
      <c r="H44" s="91"/>
      <c r="I44" s="91"/>
      <c r="J44" s="89"/>
      <c r="K44" s="89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46"/>
      <c r="C45" s="47"/>
      <c r="D45" s="49"/>
      <c r="E45" s="46"/>
      <c r="F45" s="47"/>
      <c r="G45" s="49"/>
      <c r="H45" s="46"/>
      <c r="I45" s="47"/>
      <c r="J45" s="49"/>
      <c r="K45" s="51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57"/>
      <c r="C46" s="59"/>
      <c r="D46" s="61"/>
      <c r="E46" s="57"/>
      <c r="F46" s="59"/>
      <c r="G46" s="61"/>
      <c r="H46" s="57"/>
      <c r="I46" s="59"/>
      <c r="J46" s="61"/>
      <c r="K46" s="64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57"/>
      <c r="C47" s="59"/>
      <c r="D47" s="61"/>
      <c r="E47" s="57"/>
      <c r="F47" s="59"/>
      <c r="G47" s="61"/>
      <c r="H47" s="57"/>
      <c r="I47" s="59"/>
      <c r="J47" s="61"/>
      <c r="K47" s="64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57"/>
      <c r="C48" s="59"/>
      <c r="D48" s="61"/>
      <c r="E48" s="57"/>
      <c r="F48" s="59"/>
      <c r="G48" s="61"/>
      <c r="H48" s="57"/>
      <c r="I48" s="59"/>
      <c r="J48" s="61"/>
      <c r="K48" s="64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74"/>
      <c r="C49" s="76"/>
      <c r="D49" s="78"/>
      <c r="E49" s="74"/>
      <c r="F49" s="76"/>
      <c r="G49" s="78"/>
      <c r="H49" s="74"/>
      <c r="I49" s="76"/>
      <c r="J49" s="78"/>
      <c r="K49" s="80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3"/>
      <c r="C50" s="83"/>
      <c r="D50" s="85"/>
      <c r="E50" s="83"/>
      <c r="F50" s="83"/>
      <c r="G50" s="85"/>
      <c r="H50" s="83"/>
      <c r="I50" s="83"/>
      <c r="J50" s="85"/>
      <c r="K50" s="85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91"/>
      <c r="C51" s="91"/>
      <c r="D51" s="89"/>
      <c r="E51" s="91"/>
      <c r="F51" s="91"/>
      <c r="G51" s="89"/>
      <c r="H51" s="91"/>
      <c r="I51" s="91"/>
      <c r="J51" s="89"/>
      <c r="K51" s="89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46"/>
      <c r="C52" s="47"/>
      <c r="D52" s="49"/>
      <c r="E52" s="46"/>
      <c r="F52" s="47"/>
      <c r="G52" s="49"/>
      <c r="H52" s="46"/>
      <c r="I52" s="47"/>
      <c r="J52" s="49"/>
      <c r="K52" s="51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57"/>
      <c r="C53" s="59"/>
      <c r="D53" s="61"/>
      <c r="E53" s="57"/>
      <c r="F53" s="59"/>
      <c r="G53" s="61"/>
      <c r="H53" s="57"/>
      <c r="I53" s="59"/>
      <c r="J53" s="61"/>
      <c r="K53" s="64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57"/>
      <c r="C54" s="59"/>
      <c r="D54" s="61"/>
      <c r="E54" s="57"/>
      <c r="F54" s="59"/>
      <c r="G54" s="61"/>
      <c r="H54" s="57"/>
      <c r="I54" s="59"/>
      <c r="J54" s="61"/>
      <c r="K54" s="64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57"/>
      <c r="C55" s="59"/>
      <c r="D55" s="61"/>
      <c r="E55" s="57"/>
      <c r="F55" s="59"/>
      <c r="G55" s="61"/>
      <c r="H55" s="57"/>
      <c r="I55" s="59"/>
      <c r="J55" s="61"/>
      <c r="K55" s="64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74"/>
      <c r="C56" s="76"/>
      <c r="D56" s="78"/>
      <c r="E56" s="74"/>
      <c r="F56" s="76"/>
      <c r="G56" s="78"/>
      <c r="H56" s="74"/>
      <c r="I56" s="76"/>
      <c r="J56" s="78"/>
      <c r="K56" s="80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3"/>
      <c r="C57" s="83"/>
      <c r="D57" s="85"/>
      <c r="E57" s="83"/>
      <c r="F57" s="83"/>
      <c r="G57" s="85"/>
      <c r="H57" s="83"/>
      <c r="I57" s="83"/>
      <c r="J57" s="85"/>
      <c r="K57" s="85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91"/>
      <c r="C58" s="91"/>
      <c r="D58" s="89"/>
      <c r="E58" s="91"/>
      <c r="F58" s="91"/>
      <c r="G58" s="89"/>
      <c r="H58" s="91"/>
      <c r="I58" s="91"/>
      <c r="J58" s="89"/>
      <c r="K58" s="89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46"/>
      <c r="C59" s="47"/>
      <c r="D59" s="49"/>
      <c r="E59" s="46"/>
      <c r="F59" s="47"/>
      <c r="G59" s="49"/>
      <c r="H59" s="46"/>
      <c r="I59" s="47"/>
      <c r="J59" s="49"/>
      <c r="K59" s="51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57"/>
      <c r="C60" s="59"/>
      <c r="D60" s="61"/>
      <c r="E60" s="57"/>
      <c r="F60" s="59"/>
      <c r="G60" s="61"/>
      <c r="H60" s="57"/>
      <c r="I60" s="59"/>
      <c r="J60" s="61"/>
      <c r="K60" s="64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57"/>
      <c r="C61" s="59"/>
      <c r="D61" s="61"/>
      <c r="E61" s="57"/>
      <c r="F61" s="59"/>
      <c r="G61" s="61"/>
      <c r="H61" s="57"/>
      <c r="I61" s="59"/>
      <c r="J61" s="61"/>
      <c r="K61" s="64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57"/>
      <c r="C62" s="59"/>
      <c r="D62" s="61"/>
      <c r="E62" s="57"/>
      <c r="F62" s="59"/>
      <c r="G62" s="61"/>
      <c r="H62" s="57"/>
      <c r="I62" s="59"/>
      <c r="J62" s="61"/>
      <c r="K62" s="64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74"/>
      <c r="C63" s="76"/>
      <c r="D63" s="78"/>
      <c r="E63" s="74"/>
      <c r="F63" s="76"/>
      <c r="G63" s="78"/>
      <c r="H63" s="74"/>
      <c r="I63" s="76"/>
      <c r="J63" s="78"/>
      <c r="K63" s="80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3"/>
      <c r="C64" s="83"/>
      <c r="D64" s="85"/>
      <c r="E64" s="83"/>
      <c r="F64" s="83"/>
      <c r="G64" s="85"/>
      <c r="H64" s="83"/>
      <c r="I64" s="83"/>
      <c r="J64" s="85"/>
      <c r="K64" s="85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91"/>
      <c r="C65" s="91"/>
      <c r="D65" s="89"/>
      <c r="E65" s="91"/>
      <c r="F65" s="91"/>
      <c r="G65" s="89"/>
      <c r="H65" s="91"/>
      <c r="I65" s="91"/>
      <c r="J65" s="89"/>
      <c r="K65" s="89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46"/>
      <c r="C66" s="47"/>
      <c r="D66" s="49"/>
      <c r="E66" s="46"/>
      <c r="F66" s="47"/>
      <c r="G66" s="49"/>
      <c r="H66" s="46"/>
      <c r="I66" s="47"/>
      <c r="J66" s="49"/>
      <c r="K66" s="51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57"/>
      <c r="C67" s="59"/>
      <c r="D67" s="61"/>
      <c r="E67" s="57"/>
      <c r="F67" s="59"/>
      <c r="G67" s="61"/>
      <c r="H67" s="57"/>
      <c r="I67" s="59"/>
      <c r="J67" s="61"/>
      <c r="K67" s="64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57"/>
      <c r="C68" s="59"/>
      <c r="D68" s="61"/>
      <c r="E68" s="57"/>
      <c r="F68" s="59"/>
      <c r="G68" s="61"/>
      <c r="H68" s="57"/>
      <c r="I68" s="59"/>
      <c r="J68" s="61"/>
      <c r="K68" s="64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57"/>
      <c r="C69" s="59"/>
      <c r="D69" s="61"/>
      <c r="E69" s="57"/>
      <c r="F69" s="59"/>
      <c r="G69" s="61"/>
      <c r="H69" s="57"/>
      <c r="I69" s="59"/>
      <c r="J69" s="61"/>
      <c r="K69" s="64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74"/>
      <c r="C70" s="76"/>
      <c r="D70" s="78"/>
      <c r="E70" s="74"/>
      <c r="F70" s="76"/>
      <c r="G70" s="78"/>
      <c r="H70" s="74"/>
      <c r="I70" s="76"/>
      <c r="J70" s="78"/>
      <c r="K70" s="80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3"/>
      <c r="C71" s="83"/>
      <c r="D71" s="85"/>
      <c r="E71" s="83"/>
      <c r="F71" s="83"/>
      <c r="G71" s="85"/>
      <c r="H71" s="83"/>
      <c r="I71" s="83"/>
      <c r="J71" s="85"/>
      <c r="K71" s="85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91"/>
      <c r="C72" s="91"/>
      <c r="D72" s="89"/>
      <c r="E72" s="91"/>
      <c r="F72" s="91"/>
      <c r="G72" s="89"/>
      <c r="H72" s="91"/>
      <c r="I72" s="91"/>
      <c r="J72" s="89"/>
      <c r="K72" s="89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46"/>
      <c r="C73" s="47"/>
      <c r="D73" s="49"/>
      <c r="E73" s="46"/>
      <c r="F73" s="47"/>
      <c r="G73" s="49"/>
      <c r="H73" s="46"/>
      <c r="I73" s="47"/>
      <c r="J73" s="49"/>
      <c r="K73" s="51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57"/>
      <c r="C74" s="59"/>
      <c r="D74" s="61"/>
      <c r="E74" s="57"/>
      <c r="F74" s="59"/>
      <c r="G74" s="61"/>
      <c r="H74" s="57"/>
      <c r="I74" s="59"/>
      <c r="J74" s="61"/>
      <c r="K74" s="64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57"/>
      <c r="C75" s="59"/>
      <c r="D75" s="61"/>
      <c r="E75" s="57"/>
      <c r="F75" s="59"/>
      <c r="G75" s="61"/>
      <c r="H75" s="57"/>
      <c r="I75" s="59"/>
      <c r="J75" s="61"/>
      <c r="K75" s="64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57"/>
      <c r="C76" s="59"/>
      <c r="D76" s="61"/>
      <c r="E76" s="57"/>
      <c r="F76" s="59"/>
      <c r="G76" s="61"/>
      <c r="H76" s="57"/>
      <c r="I76" s="59"/>
      <c r="J76" s="61"/>
      <c r="K76" s="64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74"/>
      <c r="C77" s="76"/>
      <c r="D77" s="78"/>
      <c r="E77" s="74"/>
      <c r="F77" s="76"/>
      <c r="G77" s="78"/>
      <c r="H77" s="74"/>
      <c r="I77" s="76"/>
      <c r="J77" s="78"/>
      <c r="K77" s="80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3"/>
      <c r="C78" s="83"/>
      <c r="D78" s="85"/>
      <c r="E78" s="83"/>
      <c r="F78" s="83"/>
      <c r="G78" s="85"/>
      <c r="H78" s="83"/>
      <c r="I78" s="83"/>
      <c r="J78" s="85"/>
      <c r="K78" s="85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91"/>
      <c r="C79" s="91"/>
      <c r="D79" s="89"/>
      <c r="E79" s="91"/>
      <c r="F79" s="91"/>
      <c r="G79" s="89"/>
      <c r="H79" s="91"/>
      <c r="I79" s="91"/>
      <c r="J79" s="89"/>
      <c r="K79" s="89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46"/>
      <c r="C80" s="47"/>
      <c r="D80" s="49"/>
      <c r="E80" s="46"/>
      <c r="F80" s="47"/>
      <c r="G80" s="49"/>
      <c r="H80" s="46"/>
      <c r="I80" s="47"/>
      <c r="J80" s="49"/>
      <c r="K80" s="51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57"/>
      <c r="C81" s="59"/>
      <c r="D81" s="61"/>
      <c r="E81" s="57"/>
      <c r="F81" s="59"/>
      <c r="G81" s="61"/>
      <c r="H81" s="57"/>
      <c r="I81" s="59"/>
      <c r="J81" s="61"/>
      <c r="K81" s="64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57"/>
      <c r="C82" s="59"/>
      <c r="D82" s="61"/>
      <c r="E82" s="57"/>
      <c r="F82" s="59"/>
      <c r="G82" s="61"/>
      <c r="H82" s="57"/>
      <c r="I82" s="59"/>
      <c r="J82" s="61"/>
      <c r="K82" s="64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57"/>
      <c r="C83" s="59"/>
      <c r="D83" s="61"/>
      <c r="E83" s="57"/>
      <c r="F83" s="59"/>
      <c r="G83" s="61"/>
      <c r="H83" s="57"/>
      <c r="I83" s="59"/>
      <c r="J83" s="61"/>
      <c r="K83" s="64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74"/>
      <c r="C84" s="76"/>
      <c r="D84" s="78"/>
      <c r="E84" s="74"/>
      <c r="F84" s="76"/>
      <c r="G84" s="78"/>
      <c r="H84" s="74"/>
      <c r="I84" s="76"/>
      <c r="J84" s="78"/>
      <c r="K84" s="80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3"/>
      <c r="C85" s="83"/>
      <c r="D85" s="85"/>
      <c r="E85" s="83"/>
      <c r="F85" s="83"/>
      <c r="G85" s="85"/>
      <c r="H85" s="83"/>
      <c r="I85" s="83"/>
      <c r="J85" s="85"/>
      <c r="K85" s="85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91"/>
      <c r="C86" s="91"/>
      <c r="D86" s="89"/>
      <c r="E86" s="91"/>
      <c r="F86" s="91"/>
      <c r="G86" s="89"/>
      <c r="H86" s="91"/>
      <c r="I86" s="91"/>
      <c r="J86" s="89"/>
      <c r="K86" s="89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46"/>
      <c r="C87" s="47"/>
      <c r="D87" s="49"/>
      <c r="E87" s="46"/>
      <c r="F87" s="47"/>
      <c r="G87" s="49"/>
      <c r="H87" s="46"/>
      <c r="I87" s="47"/>
      <c r="J87" s="49"/>
      <c r="K87" s="51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57"/>
      <c r="C88" s="59"/>
      <c r="D88" s="61"/>
      <c r="E88" s="57"/>
      <c r="F88" s="59"/>
      <c r="G88" s="61"/>
      <c r="H88" s="57"/>
      <c r="I88" s="59"/>
      <c r="J88" s="61"/>
      <c r="K88" s="64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57"/>
      <c r="C89" s="59"/>
      <c r="D89" s="61"/>
      <c r="E89" s="57"/>
      <c r="F89" s="59"/>
      <c r="G89" s="61"/>
      <c r="H89" s="57"/>
      <c r="I89" s="59"/>
      <c r="J89" s="61"/>
      <c r="K89" s="64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57"/>
      <c r="C90" s="59"/>
      <c r="D90" s="61"/>
      <c r="E90" s="57"/>
      <c r="F90" s="59"/>
      <c r="G90" s="61"/>
      <c r="H90" s="57"/>
      <c r="I90" s="59"/>
      <c r="J90" s="61"/>
      <c r="K90" s="64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74"/>
      <c r="C91" s="76"/>
      <c r="D91" s="78"/>
      <c r="E91" s="74"/>
      <c r="F91" s="76"/>
      <c r="G91" s="78"/>
      <c r="H91" s="74"/>
      <c r="I91" s="76"/>
      <c r="J91" s="78"/>
      <c r="K91" s="80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3"/>
      <c r="C92" s="83"/>
      <c r="D92" s="85"/>
      <c r="E92" s="83"/>
      <c r="F92" s="83"/>
      <c r="G92" s="85"/>
      <c r="H92" s="83"/>
      <c r="I92" s="83"/>
      <c r="J92" s="85"/>
      <c r="K92" s="85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91"/>
      <c r="C93" s="91"/>
      <c r="D93" s="89"/>
      <c r="E93" s="91"/>
      <c r="F93" s="91"/>
      <c r="G93" s="89"/>
      <c r="H93" s="91"/>
      <c r="I93" s="91"/>
      <c r="J93" s="89"/>
      <c r="K93" s="89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46"/>
      <c r="C94" s="47"/>
      <c r="D94" s="49"/>
      <c r="E94" s="46"/>
      <c r="F94" s="47"/>
      <c r="G94" s="49"/>
      <c r="H94" s="46"/>
      <c r="I94" s="47"/>
      <c r="J94" s="49"/>
      <c r="K94" s="51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57"/>
      <c r="C95" s="59"/>
      <c r="D95" s="61"/>
      <c r="E95" s="57"/>
      <c r="F95" s="59"/>
      <c r="G95" s="61"/>
      <c r="H95" s="57"/>
      <c r="I95" s="59"/>
      <c r="J95" s="61"/>
      <c r="K95" s="64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57"/>
      <c r="C96" s="59"/>
      <c r="D96" s="61"/>
      <c r="E96" s="57"/>
      <c r="F96" s="59"/>
      <c r="G96" s="61"/>
      <c r="H96" s="57"/>
      <c r="I96" s="59"/>
      <c r="J96" s="61"/>
      <c r="K96" s="64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57"/>
      <c r="C97" s="59"/>
      <c r="D97" s="61"/>
      <c r="E97" s="57"/>
      <c r="F97" s="59"/>
      <c r="G97" s="61"/>
      <c r="H97" s="57"/>
      <c r="I97" s="59"/>
      <c r="J97" s="61"/>
      <c r="K97" s="64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74"/>
      <c r="C98" s="76"/>
      <c r="D98" s="78"/>
      <c r="E98" s="74"/>
      <c r="F98" s="76"/>
      <c r="G98" s="78"/>
      <c r="H98" s="74"/>
      <c r="I98" s="76"/>
      <c r="J98" s="78"/>
      <c r="K98" s="80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3"/>
      <c r="C99" s="83"/>
      <c r="D99" s="85"/>
      <c r="E99" s="83"/>
      <c r="F99" s="83"/>
      <c r="G99" s="85"/>
      <c r="H99" s="83"/>
      <c r="I99" s="83"/>
      <c r="J99" s="85"/>
      <c r="K99" s="85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91"/>
      <c r="C100" s="91"/>
      <c r="D100" s="89"/>
      <c r="E100" s="91"/>
      <c r="F100" s="91"/>
      <c r="G100" s="89"/>
      <c r="H100" s="91"/>
      <c r="I100" s="91"/>
      <c r="J100" s="89"/>
      <c r="K100" s="89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46"/>
      <c r="C101" s="47"/>
      <c r="D101" s="49"/>
      <c r="E101" s="46"/>
      <c r="F101" s="47"/>
      <c r="G101" s="49"/>
      <c r="H101" s="46"/>
      <c r="I101" s="47"/>
      <c r="J101" s="49"/>
      <c r="K101" s="51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57"/>
      <c r="C102" s="59"/>
      <c r="D102" s="61"/>
      <c r="E102" s="57"/>
      <c r="F102" s="59"/>
      <c r="G102" s="61"/>
      <c r="H102" s="57"/>
      <c r="I102" s="59"/>
      <c r="J102" s="61"/>
      <c r="K102" s="64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57"/>
      <c r="C103" s="59"/>
      <c r="D103" s="61"/>
      <c r="E103" s="57"/>
      <c r="F103" s="59"/>
      <c r="G103" s="61"/>
      <c r="H103" s="57"/>
      <c r="I103" s="59"/>
      <c r="J103" s="61"/>
      <c r="K103" s="64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57"/>
      <c r="C104" s="59"/>
      <c r="D104" s="61"/>
      <c r="E104" s="57"/>
      <c r="F104" s="59"/>
      <c r="G104" s="61"/>
      <c r="H104" s="57"/>
      <c r="I104" s="59"/>
      <c r="J104" s="61"/>
      <c r="K104" s="64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74"/>
      <c r="C105" s="76"/>
      <c r="D105" s="78"/>
      <c r="E105" s="74"/>
      <c r="F105" s="76"/>
      <c r="G105" s="78"/>
      <c r="H105" s="74"/>
      <c r="I105" s="76"/>
      <c r="J105" s="78"/>
      <c r="K105" s="80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3"/>
      <c r="C106" s="83"/>
      <c r="D106" s="85"/>
      <c r="E106" s="83"/>
      <c r="F106" s="83"/>
      <c r="G106" s="85"/>
      <c r="H106" s="83"/>
      <c r="I106" s="83"/>
      <c r="J106" s="85"/>
      <c r="K106" s="85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91"/>
      <c r="C107" s="91"/>
      <c r="D107" s="89"/>
      <c r="E107" s="91"/>
      <c r="F107" s="91"/>
      <c r="G107" s="89"/>
      <c r="H107" s="91"/>
      <c r="I107" s="91"/>
      <c r="J107" s="89"/>
      <c r="K107" s="89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46"/>
      <c r="C108" s="47"/>
      <c r="D108" s="49"/>
      <c r="E108" s="46"/>
      <c r="F108" s="47"/>
      <c r="G108" s="49"/>
      <c r="H108" s="46"/>
      <c r="I108" s="47"/>
      <c r="J108" s="49"/>
      <c r="K108" s="51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57"/>
      <c r="C109" s="59"/>
      <c r="D109" s="61"/>
      <c r="E109" s="57"/>
      <c r="F109" s="59"/>
      <c r="G109" s="61"/>
      <c r="H109" s="57"/>
      <c r="I109" s="59"/>
      <c r="J109" s="61"/>
      <c r="K109" s="64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57"/>
      <c r="C110" s="59"/>
      <c r="D110" s="61"/>
      <c r="E110" s="57"/>
      <c r="F110" s="59"/>
      <c r="G110" s="61"/>
      <c r="H110" s="57"/>
      <c r="I110" s="59"/>
      <c r="J110" s="61"/>
      <c r="K110" s="64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57"/>
      <c r="C111" s="59"/>
      <c r="D111" s="61"/>
      <c r="E111" s="57"/>
      <c r="F111" s="59"/>
      <c r="G111" s="61"/>
      <c r="H111" s="57"/>
      <c r="I111" s="59"/>
      <c r="J111" s="61"/>
      <c r="K111" s="64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74"/>
      <c r="C112" s="76"/>
      <c r="D112" s="78"/>
      <c r="E112" s="74"/>
      <c r="F112" s="76"/>
      <c r="G112" s="78"/>
      <c r="H112" s="74"/>
      <c r="I112" s="76"/>
      <c r="J112" s="78"/>
      <c r="K112" s="80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3"/>
      <c r="C113" s="83"/>
      <c r="D113" s="85"/>
      <c r="E113" s="83"/>
      <c r="F113" s="83"/>
      <c r="G113" s="85"/>
      <c r="H113" s="83"/>
      <c r="I113" s="83"/>
      <c r="J113" s="85"/>
      <c r="K113" s="85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91"/>
      <c r="C114" s="91"/>
      <c r="D114" s="89"/>
      <c r="E114" s="91"/>
      <c r="F114" s="91"/>
      <c r="G114" s="89"/>
      <c r="H114" s="91"/>
      <c r="I114" s="91"/>
      <c r="J114" s="89"/>
      <c r="K114" s="89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46"/>
      <c r="C115" s="47"/>
      <c r="D115" s="49"/>
      <c r="E115" s="46"/>
      <c r="F115" s="47"/>
      <c r="G115" s="49"/>
      <c r="H115" s="46"/>
      <c r="I115" s="47"/>
      <c r="J115" s="49"/>
      <c r="K115" s="51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57"/>
      <c r="C116" s="59"/>
      <c r="D116" s="61"/>
      <c r="E116" s="57"/>
      <c r="F116" s="59"/>
      <c r="G116" s="61"/>
      <c r="H116" s="57"/>
      <c r="I116" s="59"/>
      <c r="J116" s="61"/>
      <c r="K116" s="64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57"/>
      <c r="C117" s="59"/>
      <c r="D117" s="61"/>
      <c r="E117" s="57"/>
      <c r="F117" s="59"/>
      <c r="G117" s="61"/>
      <c r="H117" s="57"/>
      <c r="I117" s="59"/>
      <c r="J117" s="61"/>
      <c r="K117" s="64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57"/>
      <c r="C118" s="59"/>
      <c r="D118" s="61"/>
      <c r="E118" s="57"/>
      <c r="F118" s="59"/>
      <c r="G118" s="61"/>
      <c r="H118" s="57"/>
      <c r="I118" s="59"/>
      <c r="J118" s="61"/>
      <c r="K118" s="64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74"/>
      <c r="C119" s="76"/>
      <c r="D119" s="78"/>
      <c r="E119" s="74"/>
      <c r="F119" s="76"/>
      <c r="G119" s="78"/>
      <c r="H119" s="74"/>
      <c r="I119" s="76"/>
      <c r="J119" s="78"/>
      <c r="K119" s="80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3"/>
      <c r="C120" s="83"/>
      <c r="D120" s="85"/>
      <c r="E120" s="83"/>
      <c r="F120" s="83"/>
      <c r="G120" s="85"/>
      <c r="H120" s="83"/>
      <c r="I120" s="83"/>
      <c r="J120" s="85"/>
      <c r="K120" s="85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91"/>
      <c r="C121" s="91"/>
      <c r="D121" s="89"/>
      <c r="E121" s="91"/>
      <c r="F121" s="91"/>
      <c r="G121" s="89"/>
      <c r="H121" s="91"/>
      <c r="I121" s="91"/>
      <c r="J121" s="89"/>
      <c r="K121" s="89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46"/>
      <c r="C122" s="47"/>
      <c r="D122" s="49"/>
      <c r="E122" s="46"/>
      <c r="F122" s="47"/>
      <c r="G122" s="49"/>
      <c r="H122" s="46"/>
      <c r="I122" s="47"/>
      <c r="J122" s="49"/>
      <c r="K122" s="51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57"/>
      <c r="C123" s="59"/>
      <c r="D123" s="61"/>
      <c r="E123" s="57"/>
      <c r="F123" s="59"/>
      <c r="G123" s="61"/>
      <c r="H123" s="57"/>
      <c r="I123" s="59"/>
      <c r="J123" s="61"/>
      <c r="K123" s="64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57"/>
      <c r="C124" s="59"/>
      <c r="D124" s="61"/>
      <c r="E124" s="57"/>
      <c r="F124" s="59"/>
      <c r="G124" s="61"/>
      <c r="H124" s="57"/>
      <c r="I124" s="59"/>
      <c r="J124" s="61"/>
      <c r="K124" s="64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57"/>
      <c r="C125" s="59"/>
      <c r="D125" s="61"/>
      <c r="E125" s="57"/>
      <c r="F125" s="59"/>
      <c r="G125" s="61"/>
      <c r="H125" s="57"/>
      <c r="I125" s="59"/>
      <c r="J125" s="61"/>
      <c r="K125" s="64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74"/>
      <c r="C126" s="76"/>
      <c r="D126" s="78"/>
      <c r="E126" s="74"/>
      <c r="F126" s="76"/>
      <c r="G126" s="78"/>
      <c r="H126" s="74"/>
      <c r="I126" s="76"/>
      <c r="J126" s="78"/>
      <c r="K126" s="80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3"/>
      <c r="C127" s="83"/>
      <c r="D127" s="85"/>
      <c r="E127" s="83"/>
      <c r="F127" s="83"/>
      <c r="G127" s="85"/>
      <c r="H127" s="83"/>
      <c r="I127" s="83"/>
      <c r="J127" s="85"/>
      <c r="K127" s="85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91"/>
      <c r="C128" s="91"/>
      <c r="D128" s="89"/>
      <c r="E128" s="91"/>
      <c r="F128" s="91"/>
      <c r="G128" s="89"/>
      <c r="H128" s="91"/>
      <c r="I128" s="91"/>
      <c r="J128" s="89"/>
      <c r="K128" s="89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46"/>
      <c r="C129" s="47"/>
      <c r="D129" s="49"/>
      <c r="E129" s="46"/>
      <c r="F129" s="47"/>
      <c r="G129" s="49"/>
      <c r="H129" s="46"/>
      <c r="I129" s="47"/>
      <c r="J129" s="49"/>
      <c r="K129" s="51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57"/>
      <c r="C130" s="59"/>
      <c r="D130" s="61"/>
      <c r="E130" s="57"/>
      <c r="F130" s="59"/>
      <c r="G130" s="61"/>
      <c r="H130" s="57"/>
      <c r="I130" s="59"/>
      <c r="J130" s="61"/>
      <c r="K130" s="64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57"/>
      <c r="C131" s="59"/>
      <c r="D131" s="61"/>
      <c r="E131" s="57"/>
      <c r="F131" s="59"/>
      <c r="G131" s="61"/>
      <c r="H131" s="57"/>
      <c r="I131" s="59"/>
      <c r="J131" s="61"/>
      <c r="K131" s="64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57"/>
      <c r="C132" s="59"/>
      <c r="D132" s="61"/>
      <c r="E132" s="57"/>
      <c r="F132" s="59"/>
      <c r="G132" s="61"/>
      <c r="H132" s="57"/>
      <c r="I132" s="59"/>
      <c r="J132" s="61"/>
      <c r="K132" s="64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74"/>
      <c r="C133" s="76"/>
      <c r="D133" s="78"/>
      <c r="E133" s="74"/>
      <c r="F133" s="76"/>
      <c r="G133" s="78"/>
      <c r="H133" s="74"/>
      <c r="I133" s="76"/>
      <c r="J133" s="78"/>
      <c r="K133" s="80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3"/>
      <c r="C134" s="83"/>
      <c r="D134" s="85"/>
      <c r="E134" s="83"/>
      <c r="F134" s="83"/>
      <c r="G134" s="85"/>
      <c r="H134" s="83"/>
      <c r="I134" s="83"/>
      <c r="J134" s="85"/>
      <c r="K134" s="85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91"/>
      <c r="C135" s="91"/>
      <c r="D135" s="89"/>
      <c r="E135" s="91"/>
      <c r="F135" s="91"/>
      <c r="G135" s="89"/>
      <c r="H135" s="91"/>
      <c r="I135" s="91"/>
      <c r="J135" s="89"/>
      <c r="K135" s="89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46"/>
      <c r="C136" s="47"/>
      <c r="D136" s="49"/>
      <c r="E136" s="46"/>
      <c r="F136" s="47"/>
      <c r="G136" s="49"/>
      <c r="H136" s="46"/>
      <c r="I136" s="47"/>
      <c r="J136" s="49"/>
      <c r="K136" s="51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57"/>
      <c r="C137" s="59"/>
      <c r="D137" s="61"/>
      <c r="E137" s="57"/>
      <c r="F137" s="59"/>
      <c r="G137" s="61"/>
      <c r="H137" s="57"/>
      <c r="I137" s="59"/>
      <c r="J137" s="61"/>
      <c r="K137" s="64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57"/>
      <c r="C138" s="59"/>
      <c r="D138" s="61"/>
      <c r="E138" s="57"/>
      <c r="F138" s="59"/>
      <c r="G138" s="61"/>
      <c r="H138" s="57"/>
      <c r="I138" s="59"/>
      <c r="J138" s="61"/>
      <c r="K138" s="64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57"/>
      <c r="C139" s="59"/>
      <c r="D139" s="61"/>
      <c r="E139" s="57"/>
      <c r="F139" s="59"/>
      <c r="G139" s="61"/>
      <c r="H139" s="57"/>
      <c r="I139" s="59"/>
      <c r="J139" s="61"/>
      <c r="K139" s="64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74"/>
      <c r="C140" s="76"/>
      <c r="D140" s="78"/>
      <c r="E140" s="74"/>
      <c r="F140" s="76"/>
      <c r="G140" s="78"/>
      <c r="H140" s="74"/>
      <c r="I140" s="76"/>
      <c r="J140" s="78"/>
      <c r="K140" s="80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3"/>
      <c r="C141" s="83"/>
      <c r="D141" s="85"/>
      <c r="E141" s="83"/>
      <c r="F141" s="83"/>
      <c r="G141" s="85"/>
      <c r="H141" s="83"/>
      <c r="I141" s="83"/>
      <c r="J141" s="85"/>
      <c r="K141" s="85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91"/>
      <c r="C142" s="91"/>
      <c r="D142" s="89"/>
      <c r="E142" s="91"/>
      <c r="F142" s="91"/>
      <c r="G142" s="89"/>
      <c r="H142" s="91"/>
      <c r="I142" s="91"/>
      <c r="J142" s="89"/>
      <c r="K142" s="89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46"/>
      <c r="C143" s="47"/>
      <c r="D143" s="49"/>
      <c r="E143" s="46"/>
      <c r="F143" s="47"/>
      <c r="G143" s="49"/>
      <c r="H143" s="46"/>
      <c r="I143" s="47"/>
      <c r="J143" s="49"/>
      <c r="K143" s="51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57"/>
      <c r="C144" s="59"/>
      <c r="D144" s="61"/>
      <c r="E144" s="57"/>
      <c r="F144" s="59"/>
      <c r="G144" s="61"/>
      <c r="H144" s="57"/>
      <c r="I144" s="59"/>
      <c r="J144" s="61"/>
      <c r="K144" s="64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57"/>
      <c r="C145" s="59"/>
      <c r="D145" s="61"/>
      <c r="E145" s="57"/>
      <c r="F145" s="59"/>
      <c r="G145" s="61"/>
      <c r="H145" s="57"/>
      <c r="I145" s="59"/>
      <c r="J145" s="61"/>
      <c r="K145" s="64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57"/>
      <c r="C146" s="59"/>
      <c r="D146" s="61"/>
      <c r="E146" s="57"/>
      <c r="F146" s="59"/>
      <c r="G146" s="61"/>
      <c r="H146" s="57"/>
      <c r="I146" s="59"/>
      <c r="J146" s="61"/>
      <c r="K146" s="64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74"/>
      <c r="C147" s="76"/>
      <c r="D147" s="78"/>
      <c r="E147" s="74"/>
      <c r="F147" s="76"/>
      <c r="G147" s="78"/>
      <c r="H147" s="74"/>
      <c r="I147" s="76"/>
      <c r="J147" s="78"/>
      <c r="K147" s="80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3"/>
      <c r="C148" s="83"/>
      <c r="D148" s="85"/>
      <c r="E148" s="83"/>
      <c r="F148" s="83"/>
      <c r="G148" s="85"/>
      <c r="H148" s="83"/>
      <c r="I148" s="83"/>
      <c r="J148" s="85"/>
      <c r="K148" s="85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91"/>
      <c r="C149" s="91"/>
      <c r="D149" s="89"/>
      <c r="E149" s="91"/>
      <c r="F149" s="91"/>
      <c r="G149" s="89"/>
      <c r="H149" s="91"/>
      <c r="I149" s="91"/>
      <c r="J149" s="89"/>
      <c r="K149" s="89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46"/>
      <c r="C150" s="47"/>
      <c r="D150" s="49"/>
      <c r="E150" s="46"/>
      <c r="F150" s="47"/>
      <c r="G150" s="49"/>
      <c r="H150" s="46"/>
      <c r="I150" s="47"/>
      <c r="J150" s="49"/>
      <c r="K150" s="51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57"/>
      <c r="C151" s="59"/>
      <c r="D151" s="61"/>
      <c r="E151" s="57"/>
      <c r="F151" s="59"/>
      <c r="G151" s="61"/>
      <c r="H151" s="57"/>
      <c r="I151" s="59"/>
      <c r="J151" s="61"/>
      <c r="K151" s="64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57"/>
      <c r="C152" s="59"/>
      <c r="D152" s="61"/>
      <c r="E152" s="57"/>
      <c r="F152" s="59"/>
      <c r="G152" s="61"/>
      <c r="H152" s="57"/>
      <c r="I152" s="59"/>
      <c r="J152" s="61"/>
      <c r="K152" s="64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57"/>
      <c r="C153" s="59"/>
      <c r="D153" s="61"/>
      <c r="E153" s="57"/>
      <c r="F153" s="59"/>
      <c r="G153" s="61"/>
      <c r="H153" s="57"/>
      <c r="I153" s="59"/>
      <c r="J153" s="61"/>
      <c r="K153" s="64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74"/>
      <c r="C154" s="76"/>
      <c r="D154" s="78"/>
      <c r="E154" s="74"/>
      <c r="F154" s="76"/>
      <c r="G154" s="78"/>
      <c r="H154" s="74"/>
      <c r="I154" s="76"/>
      <c r="J154" s="78"/>
      <c r="K154" s="80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3"/>
      <c r="C155" s="83"/>
      <c r="D155" s="85"/>
      <c r="E155" s="83"/>
      <c r="F155" s="83"/>
      <c r="G155" s="85"/>
      <c r="H155" s="83"/>
      <c r="I155" s="83"/>
      <c r="J155" s="85"/>
      <c r="K155" s="85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91"/>
      <c r="C156" s="91"/>
      <c r="D156" s="89"/>
      <c r="E156" s="91"/>
      <c r="F156" s="91"/>
      <c r="G156" s="89"/>
      <c r="H156" s="91"/>
      <c r="I156" s="91"/>
      <c r="J156" s="89"/>
      <c r="K156" s="89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46"/>
      <c r="C157" s="47"/>
      <c r="D157" s="49"/>
      <c r="E157" s="46"/>
      <c r="F157" s="47"/>
      <c r="G157" s="49"/>
      <c r="H157" s="46"/>
      <c r="I157" s="47"/>
      <c r="J157" s="49"/>
      <c r="K157" s="51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57"/>
      <c r="C158" s="59"/>
      <c r="D158" s="61"/>
      <c r="E158" s="57"/>
      <c r="F158" s="59"/>
      <c r="G158" s="61"/>
      <c r="H158" s="57"/>
      <c r="I158" s="59"/>
      <c r="J158" s="61"/>
      <c r="K158" s="64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57"/>
      <c r="C159" s="59"/>
      <c r="D159" s="61"/>
      <c r="E159" s="57"/>
      <c r="F159" s="59"/>
      <c r="G159" s="61"/>
      <c r="H159" s="57"/>
      <c r="I159" s="59"/>
      <c r="J159" s="61"/>
      <c r="K159" s="64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57"/>
      <c r="C160" s="59"/>
      <c r="D160" s="61"/>
      <c r="E160" s="57"/>
      <c r="F160" s="59"/>
      <c r="G160" s="61"/>
      <c r="H160" s="57"/>
      <c r="I160" s="59"/>
      <c r="J160" s="61"/>
      <c r="K160" s="64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74"/>
      <c r="C161" s="76"/>
      <c r="D161" s="78"/>
      <c r="E161" s="74"/>
      <c r="F161" s="76"/>
      <c r="G161" s="78"/>
      <c r="H161" s="74"/>
      <c r="I161" s="76"/>
      <c r="J161" s="78"/>
      <c r="K161" s="80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3"/>
      <c r="C162" s="83"/>
      <c r="D162" s="85"/>
      <c r="E162" s="83"/>
      <c r="F162" s="83"/>
      <c r="G162" s="85"/>
      <c r="H162" s="83"/>
      <c r="I162" s="83"/>
      <c r="J162" s="85"/>
      <c r="K162" s="85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91"/>
      <c r="C163" s="91"/>
      <c r="D163" s="89"/>
      <c r="E163" s="91"/>
      <c r="F163" s="91"/>
      <c r="G163" s="89"/>
      <c r="H163" s="91"/>
      <c r="I163" s="91"/>
      <c r="J163" s="89"/>
      <c r="K163" s="89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46"/>
      <c r="C164" s="47"/>
      <c r="D164" s="49"/>
      <c r="E164" s="46"/>
      <c r="F164" s="47"/>
      <c r="G164" s="49"/>
      <c r="H164" s="46"/>
      <c r="I164" s="47"/>
      <c r="J164" s="49"/>
      <c r="K164" s="51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57"/>
      <c r="C165" s="59"/>
      <c r="D165" s="61"/>
      <c r="E165" s="57"/>
      <c r="F165" s="59"/>
      <c r="G165" s="61"/>
      <c r="H165" s="57"/>
      <c r="I165" s="59"/>
      <c r="J165" s="61"/>
      <c r="K165" s="64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57"/>
      <c r="C166" s="59"/>
      <c r="D166" s="61"/>
      <c r="E166" s="57"/>
      <c r="F166" s="59"/>
      <c r="G166" s="61"/>
      <c r="H166" s="57"/>
      <c r="I166" s="59"/>
      <c r="J166" s="61"/>
      <c r="K166" s="64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57"/>
      <c r="C167" s="59"/>
      <c r="D167" s="61"/>
      <c r="E167" s="57"/>
      <c r="F167" s="59"/>
      <c r="G167" s="61"/>
      <c r="H167" s="57"/>
      <c r="I167" s="59"/>
      <c r="J167" s="61"/>
      <c r="K167" s="64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74"/>
      <c r="C168" s="76"/>
      <c r="D168" s="78"/>
      <c r="E168" s="74"/>
      <c r="F168" s="76"/>
      <c r="G168" s="78"/>
      <c r="H168" s="74"/>
      <c r="I168" s="76"/>
      <c r="J168" s="78"/>
      <c r="K168" s="80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3"/>
      <c r="C169" s="83"/>
      <c r="D169" s="85"/>
      <c r="E169" s="83"/>
      <c r="F169" s="83"/>
      <c r="G169" s="85"/>
      <c r="H169" s="83"/>
      <c r="I169" s="83"/>
      <c r="J169" s="85"/>
      <c r="K169" s="85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91"/>
      <c r="C170" s="91"/>
      <c r="D170" s="89"/>
      <c r="E170" s="91"/>
      <c r="F170" s="91"/>
      <c r="G170" s="89"/>
      <c r="H170" s="91"/>
      <c r="I170" s="91"/>
      <c r="J170" s="89"/>
      <c r="K170" s="89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46"/>
      <c r="C171" s="47"/>
      <c r="D171" s="49"/>
      <c r="E171" s="46"/>
      <c r="F171" s="47"/>
      <c r="G171" s="49"/>
      <c r="H171" s="46"/>
      <c r="I171" s="47"/>
      <c r="J171" s="49"/>
      <c r="K171" s="51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57"/>
      <c r="C172" s="59"/>
      <c r="D172" s="61"/>
      <c r="E172" s="57"/>
      <c r="F172" s="59"/>
      <c r="G172" s="61"/>
      <c r="H172" s="57"/>
      <c r="I172" s="59"/>
      <c r="J172" s="61"/>
      <c r="K172" s="64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57"/>
      <c r="C173" s="59"/>
      <c r="D173" s="61"/>
      <c r="E173" s="57"/>
      <c r="F173" s="59"/>
      <c r="G173" s="61"/>
      <c r="H173" s="57"/>
      <c r="I173" s="59"/>
      <c r="J173" s="61"/>
      <c r="K173" s="64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57"/>
      <c r="C174" s="59"/>
      <c r="D174" s="61"/>
      <c r="E174" s="57"/>
      <c r="F174" s="59"/>
      <c r="G174" s="61"/>
      <c r="H174" s="57"/>
      <c r="I174" s="59"/>
      <c r="J174" s="61"/>
      <c r="K174" s="64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74"/>
      <c r="C175" s="76"/>
      <c r="D175" s="78"/>
      <c r="E175" s="74"/>
      <c r="F175" s="76"/>
      <c r="G175" s="78"/>
      <c r="H175" s="74"/>
      <c r="I175" s="76"/>
      <c r="J175" s="78"/>
      <c r="K175" s="80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3"/>
      <c r="C176" s="83"/>
      <c r="D176" s="85"/>
      <c r="E176" s="83"/>
      <c r="F176" s="83"/>
      <c r="G176" s="85"/>
      <c r="H176" s="83"/>
      <c r="I176" s="83"/>
      <c r="J176" s="85"/>
      <c r="K176" s="85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91"/>
      <c r="C177" s="91"/>
      <c r="D177" s="89"/>
      <c r="E177" s="91"/>
      <c r="F177" s="91"/>
      <c r="G177" s="89"/>
      <c r="H177" s="91"/>
      <c r="I177" s="91"/>
      <c r="J177" s="89"/>
      <c r="K177" s="89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46"/>
      <c r="C178" s="47"/>
      <c r="D178" s="49"/>
      <c r="E178" s="46"/>
      <c r="F178" s="47"/>
      <c r="G178" s="49"/>
      <c r="H178" s="46"/>
      <c r="I178" s="47"/>
      <c r="J178" s="49"/>
      <c r="K178" s="51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57"/>
      <c r="C179" s="59"/>
      <c r="D179" s="61"/>
      <c r="E179" s="57"/>
      <c r="F179" s="59"/>
      <c r="G179" s="61"/>
      <c r="H179" s="57"/>
      <c r="I179" s="59"/>
      <c r="J179" s="61"/>
      <c r="K179" s="64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57"/>
      <c r="C180" s="59"/>
      <c r="D180" s="61"/>
      <c r="E180" s="57"/>
      <c r="F180" s="59"/>
      <c r="G180" s="61"/>
      <c r="H180" s="57"/>
      <c r="I180" s="59"/>
      <c r="J180" s="61"/>
      <c r="K180" s="64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57"/>
      <c r="C181" s="59"/>
      <c r="D181" s="61"/>
      <c r="E181" s="57"/>
      <c r="F181" s="59"/>
      <c r="G181" s="61"/>
      <c r="H181" s="57"/>
      <c r="I181" s="59"/>
      <c r="J181" s="61"/>
      <c r="K181" s="64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74"/>
      <c r="C182" s="76"/>
      <c r="D182" s="78"/>
      <c r="E182" s="74"/>
      <c r="F182" s="76"/>
      <c r="G182" s="78"/>
      <c r="H182" s="74"/>
      <c r="I182" s="76"/>
      <c r="J182" s="78"/>
      <c r="K182" s="80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3"/>
      <c r="C183" s="83"/>
      <c r="D183" s="85"/>
      <c r="E183" s="83"/>
      <c r="F183" s="83"/>
      <c r="G183" s="85"/>
      <c r="H183" s="83"/>
      <c r="I183" s="83"/>
      <c r="J183" s="85"/>
      <c r="K183" s="85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91"/>
      <c r="C184" s="91"/>
      <c r="D184" s="89"/>
      <c r="E184" s="91"/>
      <c r="F184" s="91"/>
      <c r="G184" s="89"/>
      <c r="H184" s="91"/>
      <c r="I184" s="91"/>
      <c r="J184" s="89"/>
      <c r="K184" s="89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46"/>
      <c r="C185" s="47"/>
      <c r="D185" s="49"/>
      <c r="E185" s="46"/>
      <c r="F185" s="47"/>
      <c r="G185" s="49"/>
      <c r="H185" s="46"/>
      <c r="I185" s="47"/>
      <c r="J185" s="49"/>
      <c r="K185" s="51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57"/>
      <c r="C186" s="59"/>
      <c r="D186" s="61"/>
      <c r="E186" s="57"/>
      <c r="F186" s="59"/>
      <c r="G186" s="61"/>
      <c r="H186" s="57"/>
      <c r="I186" s="59"/>
      <c r="J186" s="61"/>
      <c r="K186" s="64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57"/>
      <c r="C187" s="59"/>
      <c r="D187" s="61"/>
      <c r="E187" s="57"/>
      <c r="F187" s="59"/>
      <c r="G187" s="61"/>
      <c r="H187" s="57"/>
      <c r="I187" s="59"/>
      <c r="J187" s="61"/>
      <c r="K187" s="64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57"/>
      <c r="C188" s="59"/>
      <c r="D188" s="61"/>
      <c r="E188" s="57"/>
      <c r="F188" s="59"/>
      <c r="G188" s="61"/>
      <c r="H188" s="57"/>
      <c r="I188" s="59"/>
      <c r="J188" s="61"/>
      <c r="K188" s="64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74"/>
      <c r="C189" s="76"/>
      <c r="D189" s="78"/>
      <c r="E189" s="74"/>
      <c r="F189" s="76"/>
      <c r="G189" s="78"/>
      <c r="H189" s="74"/>
      <c r="I189" s="76"/>
      <c r="J189" s="78"/>
      <c r="K189" s="80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3"/>
      <c r="C190" s="83"/>
      <c r="D190" s="85"/>
      <c r="E190" s="83"/>
      <c r="F190" s="83"/>
      <c r="G190" s="85"/>
      <c r="H190" s="83"/>
      <c r="I190" s="83"/>
      <c r="J190" s="85"/>
      <c r="K190" s="85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91"/>
      <c r="C191" s="91"/>
      <c r="D191" s="89"/>
      <c r="E191" s="91"/>
      <c r="F191" s="91"/>
      <c r="G191" s="89"/>
      <c r="H191" s="91"/>
      <c r="I191" s="91"/>
      <c r="J191" s="89"/>
      <c r="K191" s="89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46"/>
      <c r="C192" s="47"/>
      <c r="D192" s="49"/>
      <c r="E192" s="46"/>
      <c r="F192" s="47"/>
      <c r="G192" s="49"/>
      <c r="H192" s="46"/>
      <c r="I192" s="47"/>
      <c r="J192" s="49"/>
      <c r="K192" s="51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57"/>
      <c r="C193" s="59"/>
      <c r="D193" s="61"/>
      <c r="E193" s="57"/>
      <c r="F193" s="59"/>
      <c r="G193" s="61"/>
      <c r="H193" s="57"/>
      <c r="I193" s="59"/>
      <c r="J193" s="61"/>
      <c r="K193" s="64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57"/>
      <c r="C194" s="59"/>
      <c r="D194" s="61"/>
      <c r="E194" s="57"/>
      <c r="F194" s="59"/>
      <c r="G194" s="61"/>
      <c r="H194" s="57"/>
      <c r="I194" s="59"/>
      <c r="J194" s="61"/>
      <c r="K194" s="64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57"/>
      <c r="C195" s="59"/>
      <c r="D195" s="61"/>
      <c r="E195" s="57"/>
      <c r="F195" s="59"/>
      <c r="G195" s="61"/>
      <c r="H195" s="57"/>
      <c r="I195" s="59"/>
      <c r="J195" s="61"/>
      <c r="K195" s="64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74"/>
      <c r="C196" s="76"/>
      <c r="D196" s="78"/>
      <c r="E196" s="74"/>
      <c r="F196" s="76"/>
      <c r="G196" s="78"/>
      <c r="H196" s="74"/>
      <c r="I196" s="76"/>
      <c r="J196" s="78"/>
      <c r="K196" s="80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3"/>
      <c r="C197" s="83"/>
      <c r="D197" s="85"/>
      <c r="E197" s="83"/>
      <c r="F197" s="83"/>
      <c r="G197" s="85"/>
      <c r="H197" s="83"/>
      <c r="I197" s="83"/>
      <c r="J197" s="85"/>
      <c r="K197" s="85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91"/>
      <c r="C198" s="91"/>
      <c r="D198" s="89"/>
      <c r="E198" s="91"/>
      <c r="F198" s="91"/>
      <c r="G198" s="89"/>
      <c r="H198" s="91"/>
      <c r="I198" s="91"/>
      <c r="J198" s="89"/>
      <c r="K198" s="89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46"/>
      <c r="C199" s="47"/>
      <c r="D199" s="49"/>
      <c r="E199" s="46"/>
      <c r="F199" s="47"/>
      <c r="G199" s="49"/>
      <c r="H199" s="46"/>
      <c r="I199" s="47"/>
      <c r="J199" s="49"/>
      <c r="K199" s="51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57"/>
      <c r="C200" s="59"/>
      <c r="D200" s="61"/>
      <c r="E200" s="57"/>
      <c r="F200" s="59"/>
      <c r="G200" s="61"/>
      <c r="H200" s="57"/>
      <c r="I200" s="59"/>
      <c r="J200" s="61"/>
      <c r="K200" s="64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57"/>
      <c r="C201" s="59"/>
      <c r="D201" s="61"/>
      <c r="E201" s="57"/>
      <c r="F201" s="59"/>
      <c r="G201" s="61"/>
      <c r="H201" s="57"/>
      <c r="I201" s="59"/>
      <c r="J201" s="61"/>
      <c r="K201" s="64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57"/>
      <c r="C202" s="59"/>
      <c r="D202" s="61"/>
      <c r="E202" s="57"/>
      <c r="F202" s="59"/>
      <c r="G202" s="61"/>
      <c r="H202" s="57"/>
      <c r="I202" s="59"/>
      <c r="J202" s="61"/>
      <c r="K202" s="64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74"/>
      <c r="C203" s="76"/>
      <c r="D203" s="78"/>
      <c r="E203" s="74"/>
      <c r="F203" s="76"/>
      <c r="G203" s="78"/>
      <c r="H203" s="74"/>
      <c r="I203" s="76"/>
      <c r="J203" s="78"/>
      <c r="K203" s="80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3"/>
      <c r="C204" s="83"/>
      <c r="D204" s="85"/>
      <c r="E204" s="83"/>
      <c r="F204" s="83"/>
      <c r="G204" s="85"/>
      <c r="H204" s="83"/>
      <c r="I204" s="83"/>
      <c r="J204" s="85"/>
      <c r="K204" s="85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91"/>
      <c r="C205" s="91"/>
      <c r="D205" s="89"/>
      <c r="E205" s="91"/>
      <c r="F205" s="91"/>
      <c r="G205" s="89"/>
      <c r="H205" s="91"/>
      <c r="I205" s="91"/>
      <c r="J205" s="89"/>
      <c r="K205" s="89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46"/>
      <c r="C206" s="47"/>
      <c r="D206" s="49"/>
      <c r="E206" s="46"/>
      <c r="F206" s="47"/>
      <c r="G206" s="49"/>
      <c r="H206" s="46"/>
      <c r="I206" s="47"/>
      <c r="J206" s="49"/>
      <c r="K206" s="51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57"/>
      <c r="C207" s="59"/>
      <c r="D207" s="61"/>
      <c r="E207" s="57"/>
      <c r="F207" s="59"/>
      <c r="G207" s="61"/>
      <c r="H207" s="57"/>
      <c r="I207" s="59"/>
      <c r="J207" s="61"/>
      <c r="K207" s="64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57"/>
      <c r="C208" s="59"/>
      <c r="D208" s="61"/>
      <c r="E208" s="57"/>
      <c r="F208" s="59"/>
      <c r="G208" s="61"/>
      <c r="H208" s="57"/>
      <c r="I208" s="59"/>
      <c r="J208" s="61"/>
      <c r="K208" s="64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57"/>
      <c r="C209" s="59"/>
      <c r="D209" s="61"/>
      <c r="E209" s="57"/>
      <c r="F209" s="59"/>
      <c r="G209" s="61"/>
      <c r="H209" s="57"/>
      <c r="I209" s="59"/>
      <c r="J209" s="61"/>
      <c r="K209" s="64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74"/>
      <c r="C210" s="76"/>
      <c r="D210" s="78"/>
      <c r="E210" s="74"/>
      <c r="F210" s="76"/>
      <c r="G210" s="78"/>
      <c r="H210" s="74"/>
      <c r="I210" s="76"/>
      <c r="J210" s="78"/>
      <c r="K210" s="80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3"/>
      <c r="C211" s="83"/>
      <c r="D211" s="85"/>
      <c r="E211" s="83"/>
      <c r="F211" s="83"/>
      <c r="G211" s="85"/>
      <c r="H211" s="83"/>
      <c r="I211" s="83"/>
      <c r="J211" s="85"/>
      <c r="K211" s="85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91"/>
      <c r="C212" s="91"/>
      <c r="D212" s="89"/>
      <c r="E212" s="91"/>
      <c r="F212" s="91"/>
      <c r="G212" s="89"/>
      <c r="H212" s="91"/>
      <c r="I212" s="91"/>
      <c r="J212" s="89"/>
      <c r="K212" s="89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46"/>
      <c r="C213" s="47"/>
      <c r="D213" s="49"/>
      <c r="E213" s="46"/>
      <c r="F213" s="47"/>
      <c r="G213" s="49"/>
      <c r="H213" s="46"/>
      <c r="I213" s="47"/>
      <c r="J213" s="49"/>
      <c r="K213" s="51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57"/>
      <c r="C214" s="59"/>
      <c r="D214" s="61"/>
      <c r="E214" s="57"/>
      <c r="F214" s="59"/>
      <c r="G214" s="61"/>
      <c r="H214" s="57"/>
      <c r="I214" s="59"/>
      <c r="J214" s="61"/>
      <c r="K214" s="64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57"/>
      <c r="C215" s="59"/>
      <c r="D215" s="61"/>
      <c r="E215" s="57"/>
      <c r="F215" s="59"/>
      <c r="G215" s="61"/>
      <c r="H215" s="57"/>
      <c r="I215" s="59"/>
      <c r="J215" s="61"/>
      <c r="K215" s="64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57"/>
      <c r="C216" s="59"/>
      <c r="D216" s="61"/>
      <c r="E216" s="57"/>
      <c r="F216" s="59"/>
      <c r="G216" s="61"/>
      <c r="H216" s="57"/>
      <c r="I216" s="59"/>
      <c r="J216" s="61"/>
      <c r="K216" s="64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74"/>
      <c r="C217" s="76"/>
      <c r="D217" s="78"/>
      <c r="E217" s="74"/>
      <c r="F217" s="76"/>
      <c r="G217" s="78"/>
      <c r="H217" s="74"/>
      <c r="I217" s="76"/>
      <c r="J217" s="78"/>
      <c r="K217" s="80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3"/>
      <c r="C218" s="83"/>
      <c r="D218" s="85"/>
      <c r="E218" s="83"/>
      <c r="F218" s="83"/>
      <c r="G218" s="85"/>
      <c r="H218" s="83"/>
      <c r="I218" s="83"/>
      <c r="J218" s="85"/>
      <c r="K218" s="85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91"/>
      <c r="C219" s="91"/>
      <c r="D219" s="89"/>
      <c r="E219" s="91"/>
      <c r="F219" s="91"/>
      <c r="G219" s="89"/>
      <c r="H219" s="91"/>
      <c r="I219" s="91"/>
      <c r="J219" s="89"/>
      <c r="K219" s="89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46"/>
      <c r="C220" s="47"/>
      <c r="D220" s="49"/>
      <c r="E220" s="46"/>
      <c r="F220" s="47"/>
      <c r="G220" s="49"/>
      <c r="H220" s="46"/>
      <c r="I220" s="47"/>
      <c r="J220" s="49"/>
      <c r="K220" s="51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57"/>
      <c r="C221" s="59"/>
      <c r="D221" s="61"/>
      <c r="E221" s="57"/>
      <c r="F221" s="59"/>
      <c r="G221" s="61"/>
      <c r="H221" s="57"/>
      <c r="I221" s="59"/>
      <c r="J221" s="61"/>
      <c r="K221" s="64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57"/>
      <c r="C222" s="59"/>
      <c r="D222" s="61"/>
      <c r="E222" s="57"/>
      <c r="F222" s="59"/>
      <c r="G222" s="61"/>
      <c r="H222" s="57"/>
      <c r="I222" s="59"/>
      <c r="J222" s="61"/>
      <c r="K222" s="64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57"/>
      <c r="C223" s="59"/>
      <c r="D223" s="61"/>
      <c r="E223" s="57"/>
      <c r="F223" s="59"/>
      <c r="G223" s="61"/>
      <c r="H223" s="57"/>
      <c r="I223" s="59"/>
      <c r="J223" s="61"/>
      <c r="K223" s="64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74"/>
      <c r="C224" s="76"/>
      <c r="D224" s="78"/>
      <c r="E224" s="74"/>
      <c r="F224" s="76"/>
      <c r="G224" s="78"/>
      <c r="H224" s="74"/>
      <c r="I224" s="76"/>
      <c r="J224" s="78"/>
      <c r="K224" s="80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3"/>
      <c r="C225" s="83"/>
      <c r="D225" s="85"/>
      <c r="E225" s="83"/>
      <c r="F225" s="83"/>
      <c r="G225" s="85"/>
      <c r="H225" s="83"/>
      <c r="I225" s="83"/>
      <c r="J225" s="85"/>
      <c r="K225" s="85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91"/>
      <c r="C226" s="91"/>
      <c r="D226" s="89"/>
      <c r="E226" s="91"/>
      <c r="F226" s="91"/>
      <c r="G226" s="89"/>
      <c r="H226" s="91"/>
      <c r="I226" s="91"/>
      <c r="J226" s="89"/>
      <c r="K226" s="89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46"/>
      <c r="C227" s="47"/>
      <c r="D227" s="49"/>
      <c r="E227" s="46"/>
      <c r="F227" s="47"/>
      <c r="G227" s="49"/>
      <c r="H227" s="46"/>
      <c r="I227" s="47"/>
      <c r="J227" s="49"/>
      <c r="K227" s="51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57"/>
      <c r="C228" s="59"/>
      <c r="D228" s="61"/>
      <c r="E228" s="57"/>
      <c r="F228" s="59"/>
      <c r="G228" s="61"/>
      <c r="H228" s="57"/>
      <c r="I228" s="59"/>
      <c r="J228" s="61"/>
      <c r="K228" s="64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57"/>
      <c r="C229" s="59"/>
      <c r="D229" s="61"/>
      <c r="E229" s="57"/>
      <c r="F229" s="59"/>
      <c r="G229" s="61"/>
      <c r="H229" s="57"/>
      <c r="I229" s="59"/>
      <c r="J229" s="61"/>
      <c r="K229" s="64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57"/>
      <c r="C230" s="59"/>
      <c r="D230" s="61"/>
      <c r="E230" s="57"/>
      <c r="F230" s="59"/>
      <c r="G230" s="61"/>
      <c r="H230" s="57"/>
      <c r="I230" s="59"/>
      <c r="J230" s="61"/>
      <c r="K230" s="64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74"/>
      <c r="C231" s="76"/>
      <c r="D231" s="78"/>
      <c r="E231" s="74"/>
      <c r="F231" s="76"/>
      <c r="G231" s="78"/>
      <c r="H231" s="74"/>
      <c r="I231" s="76"/>
      <c r="J231" s="78"/>
      <c r="K231" s="80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3"/>
      <c r="C232" s="83"/>
      <c r="D232" s="85"/>
      <c r="E232" s="83"/>
      <c r="F232" s="83"/>
      <c r="G232" s="85"/>
      <c r="H232" s="83"/>
      <c r="I232" s="83"/>
      <c r="J232" s="85"/>
      <c r="K232" s="85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91"/>
      <c r="C233" s="91"/>
      <c r="D233" s="89"/>
      <c r="E233" s="91"/>
      <c r="F233" s="91"/>
      <c r="G233" s="89"/>
      <c r="H233" s="91"/>
      <c r="I233" s="91"/>
      <c r="J233" s="89"/>
      <c r="K233" s="89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46"/>
      <c r="C234" s="47"/>
      <c r="D234" s="49"/>
      <c r="E234" s="46"/>
      <c r="F234" s="47"/>
      <c r="G234" s="49"/>
      <c r="H234" s="46"/>
      <c r="I234" s="47"/>
      <c r="J234" s="49"/>
      <c r="K234" s="51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57"/>
      <c r="C235" s="59"/>
      <c r="D235" s="61"/>
      <c r="E235" s="57"/>
      <c r="F235" s="59"/>
      <c r="G235" s="61"/>
      <c r="H235" s="57"/>
      <c r="I235" s="59"/>
      <c r="J235" s="61"/>
      <c r="K235" s="64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57"/>
      <c r="C236" s="59"/>
      <c r="D236" s="61"/>
      <c r="E236" s="57"/>
      <c r="F236" s="59"/>
      <c r="G236" s="61"/>
      <c r="H236" s="57"/>
      <c r="I236" s="59"/>
      <c r="J236" s="61"/>
      <c r="K236" s="64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57"/>
      <c r="C237" s="59"/>
      <c r="D237" s="61"/>
      <c r="E237" s="57"/>
      <c r="F237" s="59"/>
      <c r="G237" s="61"/>
      <c r="H237" s="57"/>
      <c r="I237" s="59"/>
      <c r="J237" s="61"/>
      <c r="K237" s="64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74"/>
      <c r="C238" s="76"/>
      <c r="D238" s="78"/>
      <c r="E238" s="74"/>
      <c r="F238" s="76"/>
      <c r="G238" s="78"/>
      <c r="H238" s="74"/>
      <c r="I238" s="76"/>
      <c r="J238" s="78"/>
      <c r="K238" s="80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3"/>
      <c r="C239" s="83"/>
      <c r="D239" s="85"/>
      <c r="E239" s="83"/>
      <c r="F239" s="83"/>
      <c r="G239" s="85"/>
      <c r="H239" s="83"/>
      <c r="I239" s="83"/>
      <c r="J239" s="85"/>
      <c r="K239" s="85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91"/>
      <c r="C240" s="91"/>
      <c r="D240" s="89"/>
      <c r="E240" s="91"/>
      <c r="F240" s="91"/>
      <c r="G240" s="89"/>
      <c r="H240" s="91"/>
      <c r="I240" s="91"/>
      <c r="J240" s="89"/>
      <c r="K240" s="89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46"/>
      <c r="C241" s="47"/>
      <c r="D241" s="49"/>
      <c r="E241" s="46"/>
      <c r="F241" s="47"/>
      <c r="G241" s="49"/>
      <c r="H241" s="46"/>
      <c r="I241" s="47"/>
      <c r="J241" s="49"/>
      <c r="K241" s="51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57"/>
      <c r="C242" s="59"/>
      <c r="D242" s="61"/>
      <c r="E242" s="57"/>
      <c r="F242" s="59"/>
      <c r="G242" s="61"/>
      <c r="H242" s="57"/>
      <c r="I242" s="59"/>
      <c r="J242" s="61"/>
      <c r="K242" s="64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57"/>
      <c r="C243" s="59"/>
      <c r="D243" s="61"/>
      <c r="E243" s="57"/>
      <c r="F243" s="59"/>
      <c r="G243" s="61"/>
      <c r="H243" s="57"/>
      <c r="I243" s="59"/>
      <c r="J243" s="61"/>
      <c r="K243" s="64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57"/>
      <c r="C244" s="59"/>
      <c r="D244" s="61"/>
      <c r="E244" s="57"/>
      <c r="F244" s="59"/>
      <c r="G244" s="61"/>
      <c r="H244" s="57"/>
      <c r="I244" s="59"/>
      <c r="J244" s="61"/>
      <c r="K244" s="64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74"/>
      <c r="C245" s="76"/>
      <c r="D245" s="78"/>
      <c r="E245" s="74"/>
      <c r="F245" s="76"/>
      <c r="G245" s="78"/>
      <c r="H245" s="74"/>
      <c r="I245" s="76"/>
      <c r="J245" s="78"/>
      <c r="K245" s="80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3"/>
      <c r="C246" s="83"/>
      <c r="D246" s="85"/>
      <c r="E246" s="83"/>
      <c r="F246" s="83"/>
      <c r="G246" s="85"/>
      <c r="H246" s="83"/>
      <c r="I246" s="83"/>
      <c r="J246" s="85"/>
      <c r="K246" s="85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91"/>
      <c r="C247" s="91"/>
      <c r="D247" s="89"/>
      <c r="E247" s="91"/>
      <c r="F247" s="91"/>
      <c r="G247" s="89"/>
      <c r="H247" s="91"/>
      <c r="I247" s="91"/>
      <c r="J247" s="89"/>
      <c r="K247" s="89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46"/>
      <c r="C248" s="47"/>
      <c r="D248" s="49"/>
      <c r="E248" s="46"/>
      <c r="F248" s="47"/>
      <c r="G248" s="49"/>
      <c r="H248" s="46"/>
      <c r="I248" s="47"/>
      <c r="J248" s="49"/>
      <c r="K248" s="51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57"/>
      <c r="C249" s="59"/>
      <c r="D249" s="61"/>
      <c r="E249" s="57"/>
      <c r="F249" s="59"/>
      <c r="G249" s="61"/>
      <c r="H249" s="57"/>
      <c r="I249" s="59"/>
      <c r="J249" s="61"/>
      <c r="K249" s="64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57"/>
      <c r="C250" s="59"/>
      <c r="D250" s="61"/>
      <c r="E250" s="57"/>
      <c r="F250" s="59"/>
      <c r="G250" s="61"/>
      <c r="H250" s="57"/>
      <c r="I250" s="59"/>
      <c r="J250" s="61"/>
      <c r="K250" s="64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57"/>
      <c r="C251" s="59"/>
      <c r="D251" s="61"/>
      <c r="E251" s="57"/>
      <c r="F251" s="59"/>
      <c r="G251" s="61"/>
      <c r="H251" s="57"/>
      <c r="I251" s="59"/>
      <c r="J251" s="61"/>
      <c r="K251" s="64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74"/>
      <c r="C252" s="76"/>
      <c r="D252" s="78"/>
      <c r="E252" s="74"/>
      <c r="F252" s="76"/>
      <c r="G252" s="78"/>
      <c r="H252" s="74"/>
      <c r="I252" s="76"/>
      <c r="J252" s="78"/>
      <c r="K252" s="80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3"/>
      <c r="C253" s="83"/>
      <c r="D253" s="85"/>
      <c r="E253" s="83"/>
      <c r="F253" s="83"/>
      <c r="G253" s="85"/>
      <c r="H253" s="83"/>
      <c r="I253" s="83"/>
      <c r="J253" s="85"/>
      <c r="K253" s="85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91"/>
      <c r="C254" s="91"/>
      <c r="D254" s="89"/>
      <c r="E254" s="91"/>
      <c r="F254" s="91"/>
      <c r="G254" s="89"/>
      <c r="H254" s="91"/>
      <c r="I254" s="91"/>
      <c r="J254" s="89"/>
      <c r="K254" s="89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46"/>
      <c r="C255" s="47"/>
      <c r="D255" s="49"/>
      <c r="E255" s="46"/>
      <c r="F255" s="47"/>
      <c r="G255" s="49"/>
      <c r="H255" s="46"/>
      <c r="I255" s="47"/>
      <c r="J255" s="49"/>
      <c r="K255" s="51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57"/>
      <c r="C256" s="59"/>
      <c r="D256" s="61"/>
      <c r="E256" s="57"/>
      <c r="F256" s="59"/>
      <c r="G256" s="61"/>
      <c r="H256" s="57"/>
      <c r="I256" s="59"/>
      <c r="J256" s="61"/>
      <c r="K256" s="64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57"/>
      <c r="C257" s="59"/>
      <c r="D257" s="61"/>
      <c r="E257" s="57"/>
      <c r="F257" s="59"/>
      <c r="G257" s="61"/>
      <c r="H257" s="57"/>
      <c r="I257" s="59"/>
      <c r="J257" s="61"/>
      <c r="K257" s="64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57"/>
      <c r="C258" s="59"/>
      <c r="D258" s="61"/>
      <c r="E258" s="57"/>
      <c r="F258" s="59"/>
      <c r="G258" s="61"/>
      <c r="H258" s="57"/>
      <c r="I258" s="59"/>
      <c r="J258" s="61"/>
      <c r="K258" s="64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74"/>
      <c r="C259" s="76"/>
      <c r="D259" s="78"/>
      <c r="E259" s="74"/>
      <c r="F259" s="76"/>
      <c r="G259" s="78"/>
      <c r="H259" s="74"/>
      <c r="I259" s="76"/>
      <c r="J259" s="78"/>
      <c r="K259" s="80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3"/>
      <c r="C260" s="83"/>
      <c r="D260" s="85"/>
      <c r="E260" s="83"/>
      <c r="F260" s="83"/>
      <c r="G260" s="85"/>
      <c r="H260" s="83"/>
      <c r="I260" s="83"/>
      <c r="J260" s="85"/>
      <c r="K260" s="85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91"/>
      <c r="C261" s="91"/>
      <c r="D261" s="89"/>
      <c r="E261" s="91"/>
      <c r="F261" s="91"/>
      <c r="G261" s="89"/>
      <c r="H261" s="91"/>
      <c r="I261" s="91"/>
      <c r="J261" s="89"/>
      <c r="K261" s="89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46"/>
      <c r="C262" s="47"/>
      <c r="D262" s="49"/>
      <c r="E262" s="46"/>
      <c r="F262" s="47"/>
      <c r="G262" s="49"/>
      <c r="H262" s="46"/>
      <c r="I262" s="47"/>
      <c r="J262" s="49"/>
      <c r="K262" s="51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57"/>
      <c r="C263" s="59"/>
      <c r="D263" s="61"/>
      <c r="E263" s="57"/>
      <c r="F263" s="59"/>
      <c r="G263" s="61"/>
      <c r="H263" s="57"/>
      <c r="I263" s="59"/>
      <c r="J263" s="61"/>
      <c r="K263" s="64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57"/>
      <c r="C264" s="59"/>
      <c r="D264" s="61"/>
      <c r="E264" s="57"/>
      <c r="F264" s="59"/>
      <c r="G264" s="61"/>
      <c r="H264" s="57"/>
      <c r="I264" s="59"/>
      <c r="J264" s="61"/>
      <c r="K264" s="64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57"/>
      <c r="C265" s="59"/>
      <c r="D265" s="61"/>
      <c r="E265" s="57"/>
      <c r="F265" s="59"/>
      <c r="G265" s="61"/>
      <c r="H265" s="57"/>
      <c r="I265" s="59"/>
      <c r="J265" s="61"/>
      <c r="K265" s="64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74"/>
      <c r="C266" s="76"/>
      <c r="D266" s="78"/>
      <c r="E266" s="74"/>
      <c r="F266" s="76"/>
      <c r="G266" s="78"/>
      <c r="H266" s="74"/>
      <c r="I266" s="76"/>
      <c r="J266" s="78"/>
      <c r="K266" s="80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3"/>
      <c r="C267" s="83"/>
      <c r="D267" s="85"/>
      <c r="E267" s="83"/>
      <c r="F267" s="83"/>
      <c r="G267" s="85"/>
      <c r="H267" s="83"/>
      <c r="I267" s="83"/>
      <c r="J267" s="85"/>
      <c r="K267" s="85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91"/>
      <c r="C268" s="91"/>
      <c r="D268" s="89"/>
      <c r="E268" s="91"/>
      <c r="F268" s="91"/>
      <c r="G268" s="89"/>
      <c r="H268" s="91"/>
      <c r="I268" s="91"/>
      <c r="J268" s="89"/>
      <c r="K268" s="89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46"/>
      <c r="C269" s="47"/>
      <c r="D269" s="49"/>
      <c r="E269" s="46"/>
      <c r="F269" s="47"/>
      <c r="G269" s="49"/>
      <c r="H269" s="46"/>
      <c r="I269" s="47"/>
      <c r="J269" s="49"/>
      <c r="K269" s="51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57"/>
      <c r="C270" s="59"/>
      <c r="D270" s="61"/>
      <c r="E270" s="57"/>
      <c r="F270" s="59"/>
      <c r="G270" s="61"/>
      <c r="H270" s="57"/>
      <c r="I270" s="59"/>
      <c r="J270" s="61"/>
      <c r="K270" s="64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57"/>
      <c r="C271" s="59"/>
      <c r="D271" s="61"/>
      <c r="E271" s="57"/>
      <c r="F271" s="59"/>
      <c r="G271" s="61"/>
      <c r="H271" s="57"/>
      <c r="I271" s="59"/>
      <c r="J271" s="61"/>
      <c r="K271" s="64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57"/>
      <c r="C272" s="59"/>
      <c r="D272" s="61"/>
      <c r="E272" s="57"/>
      <c r="F272" s="59"/>
      <c r="G272" s="61"/>
      <c r="H272" s="57"/>
      <c r="I272" s="59"/>
      <c r="J272" s="61"/>
      <c r="K272" s="64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74"/>
      <c r="C273" s="76"/>
      <c r="D273" s="78"/>
      <c r="E273" s="74"/>
      <c r="F273" s="76"/>
      <c r="G273" s="78"/>
      <c r="H273" s="74"/>
      <c r="I273" s="76"/>
      <c r="J273" s="78"/>
      <c r="K273" s="80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3"/>
      <c r="C274" s="83"/>
      <c r="D274" s="85"/>
      <c r="E274" s="83"/>
      <c r="F274" s="83"/>
      <c r="G274" s="85"/>
      <c r="H274" s="83"/>
      <c r="I274" s="83"/>
      <c r="J274" s="85"/>
      <c r="K274" s="85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91"/>
      <c r="C275" s="91"/>
      <c r="D275" s="89"/>
      <c r="E275" s="91"/>
      <c r="F275" s="91"/>
      <c r="G275" s="89"/>
      <c r="H275" s="91"/>
      <c r="I275" s="91"/>
      <c r="J275" s="89"/>
      <c r="K275" s="89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46"/>
      <c r="C276" s="47"/>
      <c r="D276" s="49"/>
      <c r="E276" s="46"/>
      <c r="F276" s="47"/>
      <c r="G276" s="49"/>
      <c r="H276" s="46"/>
      <c r="I276" s="47"/>
      <c r="J276" s="49"/>
      <c r="K276" s="51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57"/>
      <c r="C277" s="59"/>
      <c r="D277" s="61"/>
      <c r="E277" s="57"/>
      <c r="F277" s="59"/>
      <c r="G277" s="61"/>
      <c r="H277" s="57"/>
      <c r="I277" s="59"/>
      <c r="J277" s="61"/>
      <c r="K277" s="64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57"/>
      <c r="C278" s="59"/>
      <c r="D278" s="61"/>
      <c r="E278" s="57"/>
      <c r="F278" s="59"/>
      <c r="G278" s="61"/>
      <c r="H278" s="57"/>
      <c r="I278" s="59"/>
      <c r="J278" s="61"/>
      <c r="K278" s="64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57"/>
      <c r="C279" s="59"/>
      <c r="D279" s="61"/>
      <c r="E279" s="57"/>
      <c r="F279" s="59"/>
      <c r="G279" s="61"/>
      <c r="H279" s="57"/>
      <c r="I279" s="59"/>
      <c r="J279" s="61"/>
      <c r="K279" s="64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74"/>
      <c r="C280" s="76"/>
      <c r="D280" s="78"/>
      <c r="E280" s="74"/>
      <c r="F280" s="76"/>
      <c r="G280" s="78"/>
      <c r="H280" s="74"/>
      <c r="I280" s="76"/>
      <c r="J280" s="78"/>
      <c r="K280" s="80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3"/>
      <c r="C281" s="83"/>
      <c r="D281" s="85"/>
      <c r="E281" s="83"/>
      <c r="F281" s="83"/>
      <c r="G281" s="85"/>
      <c r="H281" s="83"/>
      <c r="I281" s="83"/>
      <c r="J281" s="85"/>
      <c r="K281" s="85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91"/>
      <c r="C282" s="91"/>
      <c r="D282" s="89"/>
      <c r="E282" s="91"/>
      <c r="F282" s="91"/>
      <c r="G282" s="89"/>
      <c r="H282" s="91"/>
      <c r="I282" s="91"/>
      <c r="J282" s="89"/>
      <c r="K282" s="89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46"/>
      <c r="C283" s="47"/>
      <c r="D283" s="49"/>
      <c r="E283" s="46"/>
      <c r="F283" s="47"/>
      <c r="G283" s="49"/>
      <c r="H283" s="46"/>
      <c r="I283" s="47"/>
      <c r="J283" s="49"/>
      <c r="K283" s="51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57"/>
      <c r="C284" s="59"/>
      <c r="D284" s="61"/>
      <c r="E284" s="57"/>
      <c r="F284" s="59"/>
      <c r="G284" s="61"/>
      <c r="H284" s="57"/>
      <c r="I284" s="59"/>
      <c r="J284" s="61"/>
      <c r="K284" s="64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57"/>
      <c r="C285" s="59"/>
      <c r="D285" s="61"/>
      <c r="E285" s="57"/>
      <c r="F285" s="59"/>
      <c r="G285" s="61"/>
      <c r="H285" s="57"/>
      <c r="I285" s="59"/>
      <c r="J285" s="61"/>
      <c r="K285" s="64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57"/>
      <c r="C286" s="59"/>
      <c r="D286" s="61"/>
      <c r="E286" s="57"/>
      <c r="F286" s="59"/>
      <c r="G286" s="61"/>
      <c r="H286" s="57"/>
      <c r="I286" s="59"/>
      <c r="J286" s="61"/>
      <c r="K286" s="64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74"/>
      <c r="C287" s="76"/>
      <c r="D287" s="78"/>
      <c r="E287" s="74"/>
      <c r="F287" s="76"/>
      <c r="G287" s="78"/>
      <c r="H287" s="74"/>
      <c r="I287" s="76"/>
      <c r="J287" s="78"/>
      <c r="K287" s="80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3"/>
      <c r="C288" s="83"/>
      <c r="D288" s="85"/>
      <c r="E288" s="83"/>
      <c r="F288" s="83"/>
      <c r="G288" s="85"/>
      <c r="H288" s="83"/>
      <c r="I288" s="83"/>
      <c r="J288" s="85"/>
      <c r="K288" s="85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91"/>
      <c r="C289" s="91"/>
      <c r="D289" s="89"/>
      <c r="E289" s="91"/>
      <c r="F289" s="91"/>
      <c r="G289" s="89"/>
      <c r="H289" s="91"/>
      <c r="I289" s="91"/>
      <c r="J289" s="89"/>
      <c r="K289" s="89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46"/>
      <c r="C290" s="47"/>
      <c r="D290" s="49"/>
      <c r="E290" s="46"/>
      <c r="F290" s="47"/>
      <c r="G290" s="49"/>
      <c r="H290" s="46"/>
      <c r="I290" s="47"/>
      <c r="J290" s="49"/>
      <c r="K290" s="51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57"/>
      <c r="C291" s="59"/>
      <c r="D291" s="61"/>
      <c r="E291" s="57"/>
      <c r="F291" s="59"/>
      <c r="G291" s="61"/>
      <c r="H291" s="57"/>
      <c r="I291" s="59"/>
      <c r="J291" s="61"/>
      <c r="K291" s="64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57"/>
      <c r="C292" s="59"/>
      <c r="D292" s="61"/>
      <c r="E292" s="57"/>
      <c r="F292" s="59"/>
      <c r="G292" s="61"/>
      <c r="H292" s="57"/>
      <c r="I292" s="59"/>
      <c r="J292" s="61"/>
      <c r="K292" s="64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57"/>
      <c r="C293" s="59"/>
      <c r="D293" s="61"/>
      <c r="E293" s="57"/>
      <c r="F293" s="59"/>
      <c r="G293" s="61"/>
      <c r="H293" s="57"/>
      <c r="I293" s="59"/>
      <c r="J293" s="61"/>
      <c r="K293" s="64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74"/>
      <c r="C294" s="76"/>
      <c r="D294" s="78"/>
      <c r="E294" s="74"/>
      <c r="F294" s="76"/>
      <c r="G294" s="78"/>
      <c r="H294" s="74"/>
      <c r="I294" s="76"/>
      <c r="J294" s="78"/>
      <c r="K294" s="80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3"/>
      <c r="C295" s="83"/>
      <c r="D295" s="85"/>
      <c r="E295" s="83"/>
      <c r="F295" s="83"/>
      <c r="G295" s="85"/>
      <c r="H295" s="83"/>
      <c r="I295" s="83"/>
      <c r="J295" s="85"/>
      <c r="K295" s="85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91"/>
      <c r="C296" s="91"/>
      <c r="D296" s="89"/>
      <c r="E296" s="91"/>
      <c r="F296" s="91"/>
      <c r="G296" s="89"/>
      <c r="H296" s="91"/>
      <c r="I296" s="91"/>
      <c r="J296" s="89"/>
      <c r="K296" s="89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46"/>
      <c r="C297" s="47"/>
      <c r="D297" s="49"/>
      <c r="E297" s="46"/>
      <c r="F297" s="47"/>
      <c r="G297" s="49"/>
      <c r="H297" s="46"/>
      <c r="I297" s="47"/>
      <c r="J297" s="49"/>
      <c r="K297" s="51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57"/>
      <c r="C298" s="59"/>
      <c r="D298" s="61"/>
      <c r="E298" s="57"/>
      <c r="F298" s="59"/>
      <c r="G298" s="61"/>
      <c r="H298" s="57"/>
      <c r="I298" s="59"/>
      <c r="J298" s="61"/>
      <c r="K298" s="64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57"/>
      <c r="C299" s="59"/>
      <c r="D299" s="61"/>
      <c r="E299" s="57"/>
      <c r="F299" s="59"/>
      <c r="G299" s="61"/>
      <c r="H299" s="57"/>
      <c r="I299" s="59"/>
      <c r="J299" s="61"/>
      <c r="K299" s="64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57"/>
      <c r="C300" s="59"/>
      <c r="D300" s="61"/>
      <c r="E300" s="57"/>
      <c r="F300" s="59"/>
      <c r="G300" s="61"/>
      <c r="H300" s="57"/>
      <c r="I300" s="59"/>
      <c r="J300" s="61"/>
      <c r="K300" s="64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74"/>
      <c r="C301" s="76"/>
      <c r="D301" s="78"/>
      <c r="E301" s="74"/>
      <c r="F301" s="76"/>
      <c r="G301" s="78"/>
      <c r="H301" s="74"/>
      <c r="I301" s="76"/>
      <c r="J301" s="78"/>
      <c r="K301" s="80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3"/>
      <c r="C302" s="83"/>
      <c r="D302" s="85"/>
      <c r="E302" s="83"/>
      <c r="F302" s="83"/>
      <c r="G302" s="85"/>
      <c r="H302" s="83"/>
      <c r="I302" s="83"/>
      <c r="J302" s="85"/>
      <c r="K302" s="85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91"/>
      <c r="C303" s="91"/>
      <c r="D303" s="89"/>
      <c r="E303" s="91"/>
      <c r="F303" s="91"/>
      <c r="G303" s="89"/>
      <c r="H303" s="91"/>
      <c r="I303" s="91"/>
      <c r="J303" s="89"/>
      <c r="K303" s="89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19.84238426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126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415</v>
      </c>
      <c r="C3" s="26" t="s">
        <v>416</v>
      </c>
      <c r="D3" s="30" t="s">
        <v>417</v>
      </c>
      <c r="E3" s="23" t="s">
        <v>418</v>
      </c>
      <c r="F3" s="26" t="s">
        <v>356</v>
      </c>
      <c r="G3" s="33" t="s">
        <v>419</v>
      </c>
      <c r="H3" s="23"/>
      <c r="I3" s="26"/>
      <c r="J3" s="33"/>
      <c r="K3" s="132" t="s">
        <v>420</v>
      </c>
      <c r="L3" s="108"/>
      <c r="M3" s="39"/>
      <c r="N3" s="39"/>
      <c r="O3" s="39"/>
      <c r="P3" s="127">
        <v>16.38364583333333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421</v>
      </c>
      <c r="C4" s="134" t="s">
        <v>280</v>
      </c>
      <c r="D4" s="135" t="s">
        <v>422</v>
      </c>
      <c r="E4" s="133"/>
      <c r="F4" s="134"/>
      <c r="G4" s="136"/>
      <c r="H4" s="133"/>
      <c r="I4" s="134"/>
      <c r="J4" s="136"/>
      <c r="K4" s="137" t="s">
        <v>422</v>
      </c>
      <c r="L4" s="68"/>
      <c r="M4" s="44"/>
      <c r="N4" s="44"/>
      <c r="O4" s="44"/>
      <c r="P4" s="67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415</v>
      </c>
      <c r="C5" s="134" t="s">
        <v>423</v>
      </c>
      <c r="D5" s="135" t="s">
        <v>424</v>
      </c>
      <c r="E5" s="133" t="s">
        <v>425</v>
      </c>
      <c r="F5" s="134" t="s">
        <v>426</v>
      </c>
      <c r="G5" s="136" t="s">
        <v>427</v>
      </c>
      <c r="H5" s="133" t="s">
        <v>428</v>
      </c>
      <c r="I5" s="134" t="s">
        <v>342</v>
      </c>
      <c r="J5" s="136" t="s">
        <v>340</v>
      </c>
      <c r="K5" s="137" t="s">
        <v>429</v>
      </c>
      <c r="L5" s="68"/>
      <c r="M5" s="44"/>
      <c r="N5" s="44"/>
      <c r="O5" s="44"/>
      <c r="P5" s="67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430</v>
      </c>
      <c r="C6" s="138" t="s">
        <v>431</v>
      </c>
      <c r="D6" s="139" t="s">
        <v>424</v>
      </c>
      <c r="E6" s="133" t="s">
        <v>432</v>
      </c>
      <c r="F6" s="138" t="s">
        <v>433</v>
      </c>
      <c r="G6" s="136" t="s">
        <v>434</v>
      </c>
      <c r="H6" s="133"/>
      <c r="I6" s="138"/>
      <c r="J6" s="136"/>
      <c r="K6" s="137" t="s">
        <v>435</v>
      </c>
      <c r="L6" s="68"/>
      <c r="M6" s="44"/>
      <c r="N6" s="44"/>
      <c r="O6" s="44"/>
      <c r="P6" s="67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436</v>
      </c>
      <c r="C7" s="141" t="s">
        <v>437</v>
      </c>
      <c r="D7" s="70" t="s">
        <v>438</v>
      </c>
      <c r="E7" s="140" t="s">
        <v>439</v>
      </c>
      <c r="F7" s="141" t="s">
        <v>440</v>
      </c>
      <c r="G7" s="70" t="s">
        <v>441</v>
      </c>
      <c r="H7" s="140" t="s">
        <v>442</v>
      </c>
      <c r="I7" s="141" t="s">
        <v>443</v>
      </c>
      <c r="J7" s="70" t="s">
        <v>444</v>
      </c>
      <c r="K7" s="142" t="s">
        <v>445</v>
      </c>
      <c r="L7" s="88"/>
      <c r="M7" s="44"/>
      <c r="N7" s="44"/>
      <c r="O7" s="44"/>
      <c r="P7" s="67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67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128">
        <f>SUMPRODUCT(VALUE(K3:K7))-(SUM(L3:L7))</f>
        <v>0.6868055556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446</v>
      </c>
      <c r="C10" s="26" t="s">
        <v>447</v>
      </c>
      <c r="D10" s="30" t="s">
        <v>448</v>
      </c>
      <c r="E10" s="23" t="s">
        <v>449</v>
      </c>
      <c r="F10" s="26" t="s">
        <v>450</v>
      </c>
      <c r="G10" s="49">
        <f t="shared" ref="G10:G14" si="1">F10-E10</f>
        <v>0.04789351852</v>
      </c>
      <c r="H10" s="23"/>
      <c r="I10" s="26"/>
      <c r="J10" s="33"/>
      <c r="K10" s="51">
        <f t="shared" ref="K10:K14" si="2">D10+G10+J10</f>
        <v>0.08469907407</v>
      </c>
      <c r="L10" s="108"/>
      <c r="M10" s="39"/>
      <c r="N10" s="39"/>
      <c r="O10" s="39"/>
      <c r="P10" s="143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/>
      <c r="C11" s="144"/>
      <c r="D11" s="135"/>
      <c r="E11" s="133"/>
      <c r="F11" s="134"/>
      <c r="G11" s="61">
        <f t="shared" si="1"/>
        <v>0</v>
      </c>
      <c r="H11" s="133"/>
      <c r="I11" s="134"/>
      <c r="J11" s="136"/>
      <c r="K11" s="64">
        <f t="shared" si="2"/>
        <v>0</v>
      </c>
      <c r="L11" s="68"/>
      <c r="M11" s="44"/>
      <c r="N11" s="44"/>
      <c r="O11" s="44"/>
      <c r="P11" s="67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451</v>
      </c>
      <c r="C12" s="134" t="s">
        <v>452</v>
      </c>
      <c r="D12" s="135" t="s">
        <v>453</v>
      </c>
      <c r="E12" s="133" t="s">
        <v>454</v>
      </c>
      <c r="F12" s="134" t="s">
        <v>455</v>
      </c>
      <c r="G12" s="61">
        <f t="shared" si="1"/>
        <v>0.05070601852</v>
      </c>
      <c r="H12" s="133" t="s">
        <v>456</v>
      </c>
      <c r="I12" s="134" t="s">
        <v>457</v>
      </c>
      <c r="J12" s="136" t="s">
        <v>458</v>
      </c>
      <c r="K12" s="64">
        <f t="shared" si="2"/>
        <v>0.2001041667</v>
      </c>
      <c r="L12" s="68"/>
      <c r="M12" s="44"/>
      <c r="N12" s="44"/>
      <c r="O12" s="44"/>
      <c r="P12" s="67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459</v>
      </c>
      <c r="C13" s="138" t="s">
        <v>460</v>
      </c>
      <c r="D13" s="139" t="s">
        <v>461</v>
      </c>
      <c r="E13" s="133" t="s">
        <v>462</v>
      </c>
      <c r="F13" s="138" t="s">
        <v>463</v>
      </c>
      <c r="G13" s="61">
        <f t="shared" si="1"/>
        <v>0.1797916667</v>
      </c>
      <c r="H13" s="133"/>
      <c r="I13" s="138"/>
      <c r="J13" s="136"/>
      <c r="K13" s="64">
        <f t="shared" si="2"/>
        <v>0.2174074074</v>
      </c>
      <c r="L13" s="68"/>
      <c r="M13" s="44"/>
      <c r="N13" s="44"/>
      <c r="O13" s="44"/>
      <c r="P13" s="67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464</v>
      </c>
      <c r="C14" s="141" t="s">
        <v>465</v>
      </c>
      <c r="D14" s="70" t="s">
        <v>466</v>
      </c>
      <c r="E14" s="140" t="s">
        <v>467</v>
      </c>
      <c r="F14" s="145">
        <v>0.6722222222222223</v>
      </c>
      <c r="G14" s="78">
        <f t="shared" si="1"/>
        <v>0.1307986111</v>
      </c>
      <c r="H14" s="140" t="s">
        <v>468</v>
      </c>
      <c r="I14" s="141" t="s">
        <v>469</v>
      </c>
      <c r="J14" s="70" t="s">
        <v>470</v>
      </c>
      <c r="K14" s="80">
        <f t="shared" si="2"/>
        <v>0.2269328704</v>
      </c>
      <c r="L14" s="88"/>
      <c r="M14" s="44"/>
      <c r="N14" s="44"/>
      <c r="O14" s="44"/>
      <c r="P14" s="67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67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128">
        <f>SUMPRODUCT(VALUE(K10:K14))-(SUM(L10:L14))</f>
        <v>0.7291435185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471</v>
      </c>
      <c r="C17" s="26"/>
      <c r="D17" s="30" t="s">
        <v>137</v>
      </c>
      <c r="E17" s="23" t="s">
        <v>472</v>
      </c>
      <c r="F17" s="26" t="s">
        <v>473</v>
      </c>
      <c r="G17" s="33" t="s">
        <v>474</v>
      </c>
      <c r="H17" s="23" t="s">
        <v>475</v>
      </c>
      <c r="I17" s="26" t="s">
        <v>477</v>
      </c>
      <c r="J17" s="33" t="s">
        <v>479</v>
      </c>
      <c r="K17" s="132" t="s">
        <v>481</v>
      </c>
      <c r="L17" s="108"/>
      <c r="M17" s="39"/>
      <c r="N17" s="39"/>
      <c r="O17" s="39"/>
      <c r="P17" s="143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482</v>
      </c>
      <c r="C18" s="134" t="s">
        <v>483</v>
      </c>
      <c r="D18" s="135" t="s">
        <v>484</v>
      </c>
      <c r="E18" s="133" t="s">
        <v>485</v>
      </c>
      <c r="F18" s="134" t="s">
        <v>486</v>
      </c>
      <c r="G18" s="136" t="s">
        <v>487</v>
      </c>
      <c r="H18" s="133"/>
      <c r="I18" s="134"/>
      <c r="J18" s="136"/>
      <c r="K18" s="137" t="s">
        <v>488</v>
      </c>
      <c r="L18" s="68"/>
      <c r="M18" s="44"/>
      <c r="N18" s="44"/>
      <c r="O18" s="44"/>
      <c r="P18" s="67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489</v>
      </c>
      <c r="C19" s="134" t="s">
        <v>490</v>
      </c>
      <c r="D19" s="135" t="s">
        <v>492</v>
      </c>
      <c r="E19" s="133" t="s">
        <v>493</v>
      </c>
      <c r="F19" s="134" t="s">
        <v>494</v>
      </c>
      <c r="G19" s="136" t="s">
        <v>495</v>
      </c>
      <c r="H19" s="133"/>
      <c r="I19" s="134"/>
      <c r="J19" s="136"/>
      <c r="K19" s="137" t="s">
        <v>497</v>
      </c>
      <c r="L19" s="68"/>
      <c r="M19" s="44"/>
      <c r="N19" s="44"/>
      <c r="O19" s="44"/>
      <c r="P19" s="67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501</v>
      </c>
      <c r="C20" s="138" t="s">
        <v>503</v>
      </c>
      <c r="D20" s="139" t="s">
        <v>504</v>
      </c>
      <c r="E20" s="133" t="s">
        <v>505</v>
      </c>
      <c r="F20" s="138" t="s">
        <v>506</v>
      </c>
      <c r="G20" s="136" t="s">
        <v>507</v>
      </c>
      <c r="H20" s="133"/>
      <c r="I20" s="138"/>
      <c r="J20" s="136"/>
      <c r="K20" s="137" t="s">
        <v>508</v>
      </c>
      <c r="L20" s="68"/>
      <c r="M20" s="44"/>
      <c r="N20" s="44"/>
      <c r="O20" s="44"/>
      <c r="P20" s="67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510</v>
      </c>
      <c r="C21" s="141" t="s">
        <v>511</v>
      </c>
      <c r="D21" s="70" t="s">
        <v>512</v>
      </c>
      <c r="E21" s="140" t="s">
        <v>514</v>
      </c>
      <c r="F21" s="141" t="s">
        <v>516</v>
      </c>
      <c r="G21" s="70" t="s">
        <v>518</v>
      </c>
      <c r="H21" s="140"/>
      <c r="I21" s="141"/>
      <c r="J21" s="70"/>
      <c r="K21" s="142" t="s">
        <v>519</v>
      </c>
      <c r="L21" s="88"/>
      <c r="M21" s="44"/>
      <c r="N21" s="44"/>
      <c r="O21" s="44"/>
      <c r="P21" s="67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67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128">
        <f>SUMPRODUCT(VALUE(K17:K21))-(SUM(L17:L21))</f>
        <v>1.110625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146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129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525</v>
      </c>
      <c r="C25" s="134" t="s">
        <v>526</v>
      </c>
      <c r="D25" s="147">
        <f t="shared" ref="D25:D28" si="3">C25-B25</f>
        <v>0.3257523148</v>
      </c>
      <c r="E25" s="133"/>
      <c r="F25" s="134"/>
      <c r="G25" s="136"/>
      <c r="H25" s="133"/>
      <c r="I25" s="134"/>
      <c r="J25" s="136"/>
      <c r="K25" s="148">
        <f>D25</f>
        <v>0.3257523148</v>
      </c>
      <c r="L25" s="68"/>
      <c r="M25" s="44"/>
      <c r="N25" s="44"/>
      <c r="O25" s="44"/>
      <c r="P25" s="130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535</v>
      </c>
      <c r="C26" s="134" t="s">
        <v>536</v>
      </c>
      <c r="D26" s="147">
        <f t="shared" si="3"/>
        <v>0.0428125</v>
      </c>
      <c r="E26" s="133" t="s">
        <v>537</v>
      </c>
      <c r="F26" s="134" t="s">
        <v>538</v>
      </c>
      <c r="G26" s="136" t="s">
        <v>539</v>
      </c>
      <c r="H26" s="133" t="s">
        <v>540</v>
      </c>
      <c r="I26" s="134" t="s">
        <v>541</v>
      </c>
      <c r="J26" s="136" t="s">
        <v>542</v>
      </c>
      <c r="K26" s="137" t="s">
        <v>543</v>
      </c>
      <c r="L26" s="68"/>
      <c r="M26" s="44"/>
      <c r="N26" s="44"/>
      <c r="O26" s="44"/>
      <c r="P26" s="130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544</v>
      </c>
      <c r="C27" s="138" t="s">
        <v>545</v>
      </c>
      <c r="D27" s="147">
        <f t="shared" si="3"/>
        <v>0.04055555556</v>
      </c>
      <c r="E27" s="133" t="s">
        <v>546</v>
      </c>
      <c r="F27" s="138" t="s">
        <v>547</v>
      </c>
      <c r="G27" s="136" t="s">
        <v>548</v>
      </c>
      <c r="H27" s="133"/>
      <c r="I27" s="138"/>
      <c r="J27" s="136"/>
      <c r="K27" s="137" t="s">
        <v>551</v>
      </c>
      <c r="L27" s="68"/>
      <c r="M27" s="44"/>
      <c r="N27" s="44"/>
      <c r="O27" s="44"/>
      <c r="P27" s="130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554</v>
      </c>
      <c r="C28" s="141" t="s">
        <v>555</v>
      </c>
      <c r="D28" s="67">
        <f t="shared" si="3"/>
        <v>0.04722222222</v>
      </c>
      <c r="E28" s="140" t="s">
        <v>556</v>
      </c>
      <c r="F28" s="141" t="s">
        <v>557</v>
      </c>
      <c r="G28" s="70" t="s">
        <v>558</v>
      </c>
      <c r="H28" s="140" t="s">
        <v>559</v>
      </c>
      <c r="I28" s="141" t="s">
        <v>560</v>
      </c>
      <c r="J28" s="70" t="s">
        <v>561</v>
      </c>
      <c r="K28" s="142" t="s">
        <v>562</v>
      </c>
      <c r="L28" s="88"/>
      <c r="M28" s="44"/>
      <c r="N28" s="44"/>
      <c r="O28" s="44"/>
      <c r="P28" s="130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130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131">
        <f>SUMPRODUCT(VALUE(K24:K28))-(SUM(L24:L28))</f>
        <v>0.8015046296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569</v>
      </c>
      <c r="C31" s="26" t="s">
        <v>570</v>
      </c>
      <c r="D31" s="30" t="s">
        <v>571</v>
      </c>
      <c r="E31" s="23" t="s">
        <v>572</v>
      </c>
      <c r="F31" s="26" t="s">
        <v>573</v>
      </c>
      <c r="G31" s="33" t="s">
        <v>574</v>
      </c>
      <c r="H31" s="23"/>
      <c r="I31" s="26"/>
      <c r="J31" s="33"/>
      <c r="K31" s="132" t="s">
        <v>575</v>
      </c>
      <c r="L31" s="108"/>
      <c r="M31" s="39"/>
      <c r="N31" s="39"/>
      <c r="O31" s="38"/>
      <c r="P31" s="129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554</v>
      </c>
      <c r="C32" s="134" t="s">
        <v>576</v>
      </c>
      <c r="D32" s="135" t="s">
        <v>577</v>
      </c>
      <c r="E32" s="133" t="s">
        <v>578</v>
      </c>
      <c r="F32" s="134">
        <v>0.6666666666666666</v>
      </c>
      <c r="G32" s="135" t="s">
        <v>137</v>
      </c>
      <c r="H32" s="133"/>
      <c r="I32" s="134"/>
      <c r="J32" s="136"/>
      <c r="K32" s="149" t="s">
        <v>577</v>
      </c>
      <c r="L32" s="68"/>
      <c r="M32" s="44"/>
      <c r="N32" s="44"/>
      <c r="O32" s="44"/>
      <c r="P32" s="130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/>
      <c r="C33" s="134"/>
      <c r="D33" s="135"/>
      <c r="E33" s="133"/>
      <c r="F33" s="134"/>
      <c r="G33" s="136"/>
      <c r="H33" s="133"/>
      <c r="I33" s="134"/>
      <c r="J33" s="136"/>
      <c r="K33" s="137"/>
      <c r="L33" s="68"/>
      <c r="M33" s="44"/>
      <c r="N33" s="44"/>
      <c r="O33" s="44"/>
      <c r="P33" s="130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130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130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130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131">
        <f>SUMPRODUCT(VALUE(K31:K35))-(SUM(L31:L35))</f>
        <v>0.1306597222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129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130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130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130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130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130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131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129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130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130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130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130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130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131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129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130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130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130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130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130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131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129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130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130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130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130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130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131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129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130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130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130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130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130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131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129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130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130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130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130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130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131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129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130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130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130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130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130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131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129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130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130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130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130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130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131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129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130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130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130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130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130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131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129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130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130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130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130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130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131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129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130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130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130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130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130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131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129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130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130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130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130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130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131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129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130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130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130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130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130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131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129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130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130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130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130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130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131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129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130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130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130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130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130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131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129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130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130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130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130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130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131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129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130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130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130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130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130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131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129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130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130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130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130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130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131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129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130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130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130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130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130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131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129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130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130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130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130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130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131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129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130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130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130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130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130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131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129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130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130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130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130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130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131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129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130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130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130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130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130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131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129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130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130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130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130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130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131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129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130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130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130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130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130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131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129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130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130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130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130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130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131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129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130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130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130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130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130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131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129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130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130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130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130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130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131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129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130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130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130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130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130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131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129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130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130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130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130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130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131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129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130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130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130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130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130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131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129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130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130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130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130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130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131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129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130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130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130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130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130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131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129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130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130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130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130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130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131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129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130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130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130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130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130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131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129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130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130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130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130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130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131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129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130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130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130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130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130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131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129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130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130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130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130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130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131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151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151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151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151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151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151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151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151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151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151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151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151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151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151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151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151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151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151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151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151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151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151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151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151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151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151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151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151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151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151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151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151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151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151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151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151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151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151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151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151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151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151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151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151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151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151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151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151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151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151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151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151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151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151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151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151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151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151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151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151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151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151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151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151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151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151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151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151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151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151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151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151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151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151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151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151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151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151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151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151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151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151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151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151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151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151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151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151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151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151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151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151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151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151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151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151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151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151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151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151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151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151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151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151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151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151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151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151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151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151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151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151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151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151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151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151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151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151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151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151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151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151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151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151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151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151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151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151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151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151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151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151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151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151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151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151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151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151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151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151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151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151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151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151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151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151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151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151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151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151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151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151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151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151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151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151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151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151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151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151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151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151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151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151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151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151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151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151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151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151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151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151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151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151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151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151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151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151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151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151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151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151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151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151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151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151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151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151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151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151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151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151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151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151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151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151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151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151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151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151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14.90603009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476</v>
      </c>
      <c r="C3" s="26" t="s">
        <v>478</v>
      </c>
      <c r="D3" s="30" t="s">
        <v>480</v>
      </c>
      <c r="E3" s="23"/>
      <c r="F3" s="26"/>
      <c r="G3" s="33"/>
      <c r="H3" s="23"/>
      <c r="I3" s="26"/>
      <c r="J3" s="33"/>
      <c r="K3" s="132" t="s">
        <v>480</v>
      </c>
      <c r="L3" s="108"/>
      <c r="M3" s="39"/>
      <c r="N3" s="39"/>
      <c r="O3" s="39"/>
      <c r="P3" s="127">
        <v>11.76229166666667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491</v>
      </c>
      <c r="C4" s="134" t="s">
        <v>496</v>
      </c>
      <c r="D4" s="135" t="s">
        <v>498</v>
      </c>
      <c r="E4" s="133" t="s">
        <v>499</v>
      </c>
      <c r="F4" s="134" t="s">
        <v>500</v>
      </c>
      <c r="G4" s="136" t="s">
        <v>502</v>
      </c>
      <c r="H4" s="133"/>
      <c r="I4" s="134"/>
      <c r="J4" s="136"/>
      <c r="K4" s="137" t="s">
        <v>509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513</v>
      </c>
      <c r="C5" s="134" t="s">
        <v>515</v>
      </c>
      <c r="D5" s="135" t="s">
        <v>517</v>
      </c>
      <c r="E5" s="133"/>
      <c r="F5" s="134"/>
      <c r="G5" s="136"/>
      <c r="H5" s="133"/>
      <c r="I5" s="134"/>
      <c r="J5" s="136"/>
      <c r="K5" s="137" t="s">
        <v>517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520</v>
      </c>
      <c r="C6" s="138" t="s">
        <v>521</v>
      </c>
      <c r="D6" s="139" t="s">
        <v>422</v>
      </c>
      <c r="E6" s="133"/>
      <c r="F6" s="138"/>
      <c r="G6" s="136"/>
      <c r="H6" s="133"/>
      <c r="I6" s="138"/>
      <c r="J6" s="136"/>
      <c r="K6" s="137" t="s">
        <v>422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522</v>
      </c>
      <c r="C7" s="141" t="s">
        <v>523</v>
      </c>
      <c r="D7" s="70" t="s">
        <v>524</v>
      </c>
      <c r="E7" s="140"/>
      <c r="F7" s="141"/>
      <c r="G7" s="70"/>
      <c r="H7" s="140"/>
      <c r="I7" s="141"/>
      <c r="J7" s="70"/>
      <c r="K7" s="142" t="s">
        <v>524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0.8944444444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527</v>
      </c>
      <c r="C10" s="26" t="s">
        <v>528</v>
      </c>
      <c r="D10" s="30" t="s">
        <v>529</v>
      </c>
      <c r="E10" s="23" t="s">
        <v>530</v>
      </c>
      <c r="F10" s="26" t="s">
        <v>531</v>
      </c>
      <c r="G10" s="49">
        <f t="shared" ref="G10:G14" si="1">F10-E10</f>
        <v>0.05150462963</v>
      </c>
      <c r="H10" s="23" t="s">
        <v>532</v>
      </c>
      <c r="I10" s="26" t="s">
        <v>533</v>
      </c>
      <c r="J10" s="33" t="s">
        <v>534</v>
      </c>
      <c r="K10" s="51">
        <f t="shared" ref="K10:K14" si="2">D10+G10+J10</f>
        <v>0.1437847222</v>
      </c>
      <c r="L10" s="108"/>
      <c r="M10" s="39"/>
      <c r="N10" s="39"/>
      <c r="O10" s="38"/>
      <c r="P10" s="98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549</v>
      </c>
      <c r="C11" s="134" t="s">
        <v>550</v>
      </c>
      <c r="D11" s="135" t="s">
        <v>552</v>
      </c>
      <c r="E11" s="133" t="s">
        <v>553</v>
      </c>
      <c r="F11" s="134">
        <v>0.7031828703703704</v>
      </c>
      <c r="G11" s="61">
        <f t="shared" si="1"/>
        <v>0.04166666667</v>
      </c>
      <c r="H11" s="133"/>
      <c r="I11" s="134"/>
      <c r="J11" s="136"/>
      <c r="K11" s="64">
        <f t="shared" si="2"/>
        <v>0.1602199074</v>
      </c>
      <c r="L11" s="68"/>
      <c r="M11" s="44"/>
      <c r="N11" s="44"/>
      <c r="O11" s="44"/>
      <c r="P11" s="65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563</v>
      </c>
      <c r="C12" s="134" t="s">
        <v>564</v>
      </c>
      <c r="D12" s="135" t="s">
        <v>565</v>
      </c>
      <c r="E12" s="133"/>
      <c r="F12" s="134"/>
      <c r="G12" s="61">
        <f t="shared" si="1"/>
        <v>0</v>
      </c>
      <c r="H12" s="133"/>
      <c r="I12" s="134"/>
      <c r="J12" s="136"/>
      <c r="K12" s="64">
        <f t="shared" si="2"/>
        <v>0.1621643519</v>
      </c>
      <c r="L12" s="68"/>
      <c r="M12" s="44"/>
      <c r="N12" s="44"/>
      <c r="O12" s="44"/>
      <c r="P12" s="65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/>
      <c r="C13" s="138"/>
      <c r="D13" s="139"/>
      <c r="E13" s="133"/>
      <c r="F13" s="138"/>
      <c r="G13" s="61">
        <f t="shared" si="1"/>
        <v>0</v>
      </c>
      <c r="H13" s="133"/>
      <c r="I13" s="138"/>
      <c r="J13" s="136"/>
      <c r="K13" s="64">
        <f t="shared" si="2"/>
        <v>0</v>
      </c>
      <c r="L13" s="68"/>
      <c r="M13" s="44"/>
      <c r="N13" s="44"/>
      <c r="O13" s="44"/>
      <c r="P13" s="65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566</v>
      </c>
      <c r="C14" s="141" t="s">
        <v>567</v>
      </c>
      <c r="D14" s="70" t="s">
        <v>568</v>
      </c>
      <c r="E14" s="140"/>
      <c r="F14" s="141"/>
      <c r="G14" s="78">
        <f t="shared" si="1"/>
        <v>0</v>
      </c>
      <c r="H14" s="140"/>
      <c r="I14" s="141"/>
      <c r="J14" s="70"/>
      <c r="K14" s="80">
        <f t="shared" si="2"/>
        <v>0.1751851852</v>
      </c>
      <c r="L14" s="88"/>
      <c r="M14" s="44"/>
      <c r="N14" s="44"/>
      <c r="O14" s="44"/>
      <c r="P14" s="65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65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2"/>
      <c r="P16" s="95">
        <f>SUMPRODUCT(VALUE(K10:K14))-(SUM(L10:L14))</f>
        <v>0.6413541667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579</v>
      </c>
      <c r="C17" s="26" t="s">
        <v>580</v>
      </c>
      <c r="D17" s="30" t="s">
        <v>581</v>
      </c>
      <c r="E17" s="23" t="s">
        <v>582</v>
      </c>
      <c r="F17" s="26" t="s">
        <v>583</v>
      </c>
      <c r="G17" s="33" t="s">
        <v>584</v>
      </c>
      <c r="H17" s="23" t="s">
        <v>585</v>
      </c>
      <c r="I17" s="26" t="s">
        <v>586</v>
      </c>
      <c r="J17" s="33" t="s">
        <v>587</v>
      </c>
      <c r="K17" s="132" t="s">
        <v>588</v>
      </c>
      <c r="L17" s="108"/>
      <c r="M17" s="39"/>
      <c r="N17" s="39"/>
      <c r="O17" s="38"/>
      <c r="P17" s="98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589</v>
      </c>
      <c r="C18" s="134" t="s">
        <v>590</v>
      </c>
      <c r="D18" s="135" t="s">
        <v>591</v>
      </c>
      <c r="E18" s="133"/>
      <c r="F18" s="134"/>
      <c r="G18" s="136"/>
      <c r="H18" s="133"/>
      <c r="I18" s="134"/>
      <c r="J18" s="136"/>
      <c r="K18" s="137" t="s">
        <v>591</v>
      </c>
      <c r="L18" s="68"/>
      <c r="M18" s="44"/>
      <c r="N18" s="44"/>
      <c r="O18" s="44"/>
      <c r="P18" s="65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592</v>
      </c>
      <c r="C19" s="134" t="s">
        <v>593</v>
      </c>
      <c r="D19" s="135" t="s">
        <v>594</v>
      </c>
      <c r="E19" s="133"/>
      <c r="F19" s="134"/>
      <c r="G19" s="136"/>
      <c r="H19" s="133"/>
      <c r="I19" s="134"/>
      <c r="J19" s="136"/>
      <c r="K19" s="137" t="s">
        <v>594</v>
      </c>
      <c r="L19" s="68"/>
      <c r="M19" s="44"/>
      <c r="N19" s="44"/>
      <c r="O19" s="44"/>
      <c r="P19" s="65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/>
      <c r="C20" s="138"/>
      <c r="D20" s="139"/>
      <c r="E20" s="133"/>
      <c r="F20" s="138"/>
      <c r="G20" s="136"/>
      <c r="H20" s="133"/>
      <c r="I20" s="138"/>
      <c r="J20" s="136"/>
      <c r="K20" s="137"/>
      <c r="L20" s="68"/>
      <c r="M20" s="44"/>
      <c r="N20" s="44"/>
      <c r="O20" s="44"/>
      <c r="P20" s="65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/>
      <c r="C21" s="141"/>
      <c r="D21" s="70"/>
      <c r="E21" s="140"/>
      <c r="F21" s="141"/>
      <c r="G21" s="70"/>
      <c r="H21" s="140"/>
      <c r="I21" s="141"/>
      <c r="J21" s="70"/>
      <c r="K21" s="142"/>
      <c r="L21" s="88"/>
      <c r="M21" s="44"/>
      <c r="N21" s="44"/>
      <c r="O21" s="44"/>
      <c r="P21" s="65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65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2"/>
      <c r="P23" s="95">
        <f>SUMPRODUCT(VALUE(K17:K21))-(SUM(L17:L21))</f>
        <v>0.3677777778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595</v>
      </c>
      <c r="C25" s="134" t="s">
        <v>596</v>
      </c>
      <c r="D25" s="135" t="s">
        <v>597</v>
      </c>
      <c r="E25" s="133" t="s">
        <v>598</v>
      </c>
      <c r="F25" s="134" t="s">
        <v>599</v>
      </c>
      <c r="G25" s="136" t="s">
        <v>600</v>
      </c>
      <c r="H25" s="133"/>
      <c r="I25" s="134"/>
      <c r="J25" s="136"/>
      <c r="K25" s="137" t="s">
        <v>601</v>
      </c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602</v>
      </c>
      <c r="C26" s="134" t="s">
        <v>603</v>
      </c>
      <c r="D26" s="135" t="s">
        <v>604</v>
      </c>
      <c r="E26" s="133"/>
      <c r="F26" s="134"/>
      <c r="G26" s="136"/>
      <c r="H26" s="133"/>
      <c r="I26" s="134"/>
      <c r="J26" s="136"/>
      <c r="K26" s="137" t="s">
        <v>604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605</v>
      </c>
      <c r="C27" s="138" t="s">
        <v>606</v>
      </c>
      <c r="D27" s="139" t="s">
        <v>607</v>
      </c>
      <c r="E27" s="133"/>
      <c r="F27" s="138"/>
      <c r="G27" s="136"/>
      <c r="H27" s="133"/>
      <c r="I27" s="138"/>
      <c r="J27" s="136"/>
      <c r="K27" s="137" t="s">
        <v>607</v>
      </c>
      <c r="L27" s="68"/>
      <c r="M27" s="44"/>
      <c r="N27" s="44" t="s">
        <v>608</v>
      </c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609</v>
      </c>
      <c r="C28" s="141" t="s">
        <v>610</v>
      </c>
      <c r="D28" s="70" t="s">
        <v>611</v>
      </c>
      <c r="E28" s="140"/>
      <c r="F28" s="141"/>
      <c r="G28" s="70"/>
      <c r="H28" s="140"/>
      <c r="I28" s="141"/>
      <c r="J28" s="70"/>
      <c r="K28" s="142" t="s">
        <v>611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0.7584837963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612</v>
      </c>
      <c r="C31" s="26" t="s">
        <v>613</v>
      </c>
      <c r="D31" s="30" t="s">
        <v>614</v>
      </c>
      <c r="E31" s="23" t="s">
        <v>615</v>
      </c>
      <c r="F31" s="26" t="s">
        <v>616</v>
      </c>
      <c r="G31" s="33" t="s">
        <v>617</v>
      </c>
      <c r="H31" s="23" t="s">
        <v>618</v>
      </c>
      <c r="I31" s="26" t="s">
        <v>619</v>
      </c>
      <c r="J31" s="33" t="s">
        <v>620</v>
      </c>
      <c r="K31" s="132" t="s">
        <v>621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622</v>
      </c>
      <c r="C32" s="134" t="s">
        <v>623</v>
      </c>
      <c r="D32" s="135" t="s">
        <v>624</v>
      </c>
      <c r="E32" s="133" t="s">
        <v>625</v>
      </c>
      <c r="F32" s="134" t="s">
        <v>626</v>
      </c>
      <c r="G32" s="136" t="s">
        <v>627</v>
      </c>
      <c r="H32" s="133"/>
      <c r="I32" s="134"/>
      <c r="J32" s="136"/>
      <c r="K32" s="137" t="s">
        <v>628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629</v>
      </c>
      <c r="C33" s="134" t="s">
        <v>630</v>
      </c>
      <c r="D33" s="135" t="s">
        <v>631</v>
      </c>
      <c r="E33" s="133"/>
      <c r="F33" s="134"/>
      <c r="G33" s="136"/>
      <c r="H33" s="133"/>
      <c r="I33" s="134"/>
      <c r="J33" s="136"/>
      <c r="K33" s="137" t="s">
        <v>631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 t="s">
        <v>632</v>
      </c>
      <c r="C34" s="138"/>
      <c r="D34" s="139" t="s">
        <v>137</v>
      </c>
      <c r="E34" s="133"/>
      <c r="F34" s="138"/>
      <c r="G34" s="136"/>
      <c r="H34" s="133"/>
      <c r="I34" s="138"/>
      <c r="J34" s="136"/>
      <c r="K34" s="137" t="s">
        <v>137</v>
      </c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0.4816782407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237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20.0150463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2" t="s">
        <v>21</v>
      </c>
      <c r="C2" s="24" t="s">
        <v>26</v>
      </c>
      <c r="D2" s="29" t="s">
        <v>27</v>
      </c>
      <c r="E2" s="22" t="s">
        <v>28</v>
      </c>
      <c r="F2" s="24" t="s">
        <v>30</v>
      </c>
      <c r="G2" s="32" t="s">
        <v>31</v>
      </c>
      <c r="H2" s="22" t="s">
        <v>32</v>
      </c>
      <c r="I2" s="24" t="s">
        <v>33</v>
      </c>
      <c r="J2" s="32" t="s">
        <v>34</v>
      </c>
      <c r="K2" s="34" t="s">
        <v>35</v>
      </c>
      <c r="L2" s="35" t="s">
        <v>36</v>
      </c>
      <c r="M2" s="38"/>
      <c r="N2" s="40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/>
      <c r="C3" s="26"/>
      <c r="D3" s="30"/>
      <c r="E3" s="23"/>
      <c r="F3" s="26"/>
      <c r="G3" s="33"/>
      <c r="H3" s="23"/>
      <c r="I3" s="26"/>
      <c r="J3" s="33"/>
      <c r="K3" s="132"/>
      <c r="L3" s="108"/>
      <c r="M3" s="39"/>
      <c r="N3" s="39"/>
      <c r="O3" s="39"/>
      <c r="P3" s="127">
        <v>19.44837962962963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/>
      <c r="C4" s="134"/>
      <c r="D4" s="135"/>
      <c r="E4" s="133"/>
      <c r="F4" s="134"/>
      <c r="G4" s="136"/>
      <c r="H4" s="133"/>
      <c r="I4" s="134"/>
      <c r="J4" s="136"/>
      <c r="K4" s="137"/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633</v>
      </c>
      <c r="C5" s="134" t="s">
        <v>634</v>
      </c>
      <c r="D5" s="135" t="s">
        <v>635</v>
      </c>
      <c r="E5" s="133"/>
      <c r="F5" s="134"/>
      <c r="G5" s="136"/>
      <c r="H5" s="133"/>
      <c r="I5" s="134"/>
      <c r="J5" s="136"/>
      <c r="K5" s="137" t="s">
        <v>635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515</v>
      </c>
      <c r="C6" s="138" t="s">
        <v>636</v>
      </c>
      <c r="D6" s="139" t="s">
        <v>637</v>
      </c>
      <c r="E6" s="133"/>
      <c r="F6" s="138"/>
      <c r="G6" s="136"/>
      <c r="H6" s="133"/>
      <c r="I6" s="138"/>
      <c r="J6" s="136"/>
      <c r="K6" s="137" t="s">
        <v>637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638</v>
      </c>
      <c r="C7" s="141" t="s">
        <v>639</v>
      </c>
      <c r="D7" s="70" t="s">
        <v>640</v>
      </c>
      <c r="E7" s="140"/>
      <c r="F7" s="141"/>
      <c r="G7" s="70"/>
      <c r="H7" s="140"/>
      <c r="I7" s="141"/>
      <c r="J7" s="70"/>
      <c r="K7" s="142" t="s">
        <v>640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0.5666666667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2"/>
      <c r="C10" s="24"/>
      <c r="D10" s="29"/>
      <c r="E10" s="22"/>
      <c r="F10" s="24"/>
      <c r="G10" s="32"/>
      <c r="H10" s="22"/>
      <c r="I10" s="24"/>
      <c r="J10" s="32"/>
      <c r="K10" s="48"/>
      <c r="L10" s="50"/>
      <c r="M10" s="38"/>
      <c r="N10" s="38"/>
      <c r="O10" s="38"/>
      <c r="P10" s="98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55"/>
      <c r="C11" s="56"/>
      <c r="D11" s="58"/>
      <c r="E11" s="55"/>
      <c r="F11" s="56"/>
      <c r="G11" s="60"/>
      <c r="H11" s="55"/>
      <c r="I11" s="56"/>
      <c r="J11" s="60"/>
      <c r="K11" s="62"/>
      <c r="L11" s="63"/>
      <c r="M11" s="44"/>
      <c r="N11" s="44"/>
      <c r="O11" s="44"/>
      <c r="P11" s="65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55"/>
      <c r="C12" s="56"/>
      <c r="D12" s="58"/>
      <c r="E12" s="55"/>
      <c r="F12" s="56"/>
      <c r="G12" s="60"/>
      <c r="H12" s="55"/>
      <c r="I12" s="56"/>
      <c r="J12" s="60"/>
      <c r="K12" s="62"/>
      <c r="L12" s="63"/>
      <c r="M12" s="44"/>
      <c r="N12" s="44"/>
      <c r="O12" s="44"/>
      <c r="P12" s="65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55"/>
      <c r="C13" s="69"/>
      <c r="D13" s="71"/>
      <c r="E13" s="55"/>
      <c r="F13" s="69"/>
      <c r="G13" s="60"/>
      <c r="H13" s="55"/>
      <c r="I13" s="69"/>
      <c r="J13" s="60"/>
      <c r="K13" s="62"/>
      <c r="L13" s="63"/>
      <c r="M13" s="44"/>
      <c r="N13" s="44"/>
      <c r="O13" s="44"/>
      <c r="P13" s="65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72"/>
      <c r="C14" s="73"/>
      <c r="D14" s="65"/>
      <c r="E14" s="72"/>
      <c r="F14" s="73"/>
      <c r="G14" s="65"/>
      <c r="H14" s="72"/>
      <c r="I14" s="73"/>
      <c r="J14" s="65"/>
      <c r="K14" s="75"/>
      <c r="L14" s="77"/>
      <c r="M14" s="44"/>
      <c r="N14" s="44"/>
      <c r="O14" s="44"/>
      <c r="P14" s="65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77"/>
      <c r="M15" s="44"/>
      <c r="N15" s="44"/>
      <c r="O15" s="44"/>
      <c r="P15" s="65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0"/>
      <c r="M16" s="92"/>
      <c r="N16" s="92"/>
      <c r="O16" s="92"/>
      <c r="P16" s="95">
        <f>SUMPRODUCT(VALUE(K10:K14))-(SUM((L10:L14)))</f>
        <v>0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2"/>
      <c r="C17" s="24"/>
      <c r="D17" s="29"/>
      <c r="E17" s="22"/>
      <c r="F17" s="24"/>
      <c r="G17" s="32"/>
      <c r="H17" s="22"/>
      <c r="I17" s="24"/>
      <c r="J17" s="32"/>
      <c r="K17" s="48"/>
      <c r="L17" s="50"/>
      <c r="M17" s="38"/>
      <c r="N17" s="38"/>
      <c r="O17" s="38"/>
      <c r="P17" s="98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55"/>
      <c r="C18" s="56"/>
      <c r="D18" s="58"/>
      <c r="E18" s="55"/>
      <c r="F18" s="56"/>
      <c r="G18" s="60"/>
      <c r="H18" s="55"/>
      <c r="I18" s="56"/>
      <c r="J18" s="60"/>
      <c r="K18" s="62"/>
      <c r="L18" s="63"/>
      <c r="M18" s="44"/>
      <c r="N18" s="44"/>
      <c r="O18" s="44"/>
      <c r="P18" s="65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55"/>
      <c r="C19" s="56"/>
      <c r="D19" s="58"/>
      <c r="E19" s="55"/>
      <c r="F19" s="56"/>
      <c r="G19" s="60"/>
      <c r="H19" s="55"/>
      <c r="I19" s="56"/>
      <c r="J19" s="60"/>
      <c r="K19" s="62"/>
      <c r="L19" s="63"/>
      <c r="M19" s="44"/>
      <c r="N19" s="44"/>
      <c r="O19" s="44"/>
      <c r="P19" s="65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55"/>
      <c r="C20" s="69"/>
      <c r="D20" s="71"/>
      <c r="E20" s="55"/>
      <c r="F20" s="69"/>
      <c r="G20" s="60"/>
      <c r="H20" s="55"/>
      <c r="I20" s="69"/>
      <c r="J20" s="60"/>
      <c r="K20" s="62"/>
      <c r="L20" s="63"/>
      <c r="M20" s="44"/>
      <c r="N20" s="44"/>
      <c r="O20" s="44"/>
      <c r="P20" s="65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72"/>
      <c r="C21" s="73"/>
      <c r="D21" s="65"/>
      <c r="E21" s="72"/>
      <c r="F21" s="73"/>
      <c r="G21" s="65"/>
      <c r="H21" s="72"/>
      <c r="I21" s="73"/>
      <c r="J21" s="65"/>
      <c r="K21" s="75"/>
      <c r="L21" s="77"/>
      <c r="M21" s="44"/>
      <c r="N21" s="44"/>
      <c r="O21" s="44"/>
      <c r="P21" s="65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77"/>
      <c r="M22" s="44"/>
      <c r="N22" s="44"/>
      <c r="O22" s="44"/>
      <c r="P22" s="65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0"/>
      <c r="M23" s="92"/>
      <c r="N23" s="92"/>
      <c r="O23" s="92"/>
      <c r="P23" s="95">
        <f>SUMPRODUCT(VALUE(K17:K21))-(SUM((L17:L21)))</f>
        <v>0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2"/>
      <c r="C24" s="24"/>
      <c r="D24" s="29"/>
      <c r="E24" s="22"/>
      <c r="F24" s="24"/>
      <c r="G24" s="32"/>
      <c r="H24" s="22"/>
      <c r="I24" s="24"/>
      <c r="J24" s="32"/>
      <c r="K24" s="48"/>
      <c r="L24" s="50"/>
      <c r="M24" s="38"/>
      <c r="N24" s="38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55"/>
      <c r="C25" s="56"/>
      <c r="D25" s="58"/>
      <c r="E25" s="55"/>
      <c r="F25" s="56"/>
      <c r="G25" s="60"/>
      <c r="H25" s="55"/>
      <c r="I25" s="56"/>
      <c r="J25" s="60"/>
      <c r="K25" s="62"/>
      <c r="L25" s="63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55"/>
      <c r="C26" s="56"/>
      <c r="D26" s="58"/>
      <c r="E26" s="55"/>
      <c r="F26" s="56"/>
      <c r="G26" s="60"/>
      <c r="H26" s="55"/>
      <c r="I26" s="56"/>
      <c r="J26" s="60"/>
      <c r="K26" s="62"/>
      <c r="L26" s="63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55"/>
      <c r="C27" s="69"/>
      <c r="D27" s="71"/>
      <c r="E27" s="55"/>
      <c r="F27" s="69"/>
      <c r="G27" s="60"/>
      <c r="H27" s="55"/>
      <c r="I27" s="69"/>
      <c r="J27" s="60"/>
      <c r="K27" s="62"/>
      <c r="L27" s="63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72"/>
      <c r="C28" s="73"/>
      <c r="D28" s="65"/>
      <c r="E28" s="72"/>
      <c r="F28" s="73"/>
      <c r="G28" s="65"/>
      <c r="H28" s="72"/>
      <c r="I28" s="73"/>
      <c r="J28" s="65"/>
      <c r="K28" s="75"/>
      <c r="L28" s="77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77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0"/>
      <c r="M30" s="92"/>
      <c r="N30" s="92"/>
      <c r="O30" s="92"/>
      <c r="P30" s="95">
        <f>SUMPRODUCT(VALUE(K24:K28))-(SUM((L24:L28)))</f>
        <v>0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2"/>
      <c r="C31" s="24"/>
      <c r="D31" s="29"/>
      <c r="E31" s="22"/>
      <c r="F31" s="24"/>
      <c r="G31" s="32"/>
      <c r="H31" s="22"/>
      <c r="I31" s="24"/>
      <c r="J31" s="32"/>
      <c r="K31" s="48"/>
      <c r="L31" s="50"/>
      <c r="M31" s="38"/>
      <c r="N31" s="38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55"/>
      <c r="C32" s="56"/>
      <c r="D32" s="58"/>
      <c r="E32" s="55"/>
      <c r="F32" s="56"/>
      <c r="G32" s="60"/>
      <c r="H32" s="55"/>
      <c r="I32" s="56"/>
      <c r="J32" s="60"/>
      <c r="K32" s="62"/>
      <c r="L32" s="63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55"/>
      <c r="C33" s="56"/>
      <c r="D33" s="58"/>
      <c r="E33" s="55"/>
      <c r="F33" s="56"/>
      <c r="G33" s="60"/>
      <c r="H33" s="55"/>
      <c r="I33" s="56"/>
      <c r="J33" s="60"/>
      <c r="K33" s="62"/>
      <c r="L33" s="63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55"/>
      <c r="C34" s="69"/>
      <c r="D34" s="71"/>
      <c r="E34" s="55"/>
      <c r="F34" s="69"/>
      <c r="G34" s="60"/>
      <c r="H34" s="55"/>
      <c r="I34" s="69"/>
      <c r="J34" s="60"/>
      <c r="K34" s="62"/>
      <c r="L34" s="63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72"/>
      <c r="C35" s="73"/>
      <c r="D35" s="65"/>
      <c r="E35" s="72"/>
      <c r="F35" s="73"/>
      <c r="G35" s="65"/>
      <c r="H35" s="72"/>
      <c r="I35" s="73"/>
      <c r="J35" s="65"/>
      <c r="K35" s="75"/>
      <c r="L35" s="77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77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0"/>
      <c r="M37" s="92"/>
      <c r="N37" s="92"/>
      <c r="O37" s="92"/>
      <c r="P37" s="95">
        <f>SUMPRODUCT(VALUE(K31:K35))-(SUM((L31:L35)))</f>
        <v>0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2"/>
      <c r="C38" s="24"/>
      <c r="D38" s="29"/>
      <c r="E38" s="22"/>
      <c r="F38" s="24"/>
      <c r="G38" s="32"/>
      <c r="H38" s="22"/>
      <c r="I38" s="24"/>
      <c r="J38" s="32"/>
      <c r="K38" s="48"/>
      <c r="L38" s="50"/>
      <c r="M38" s="38"/>
      <c r="N38" s="38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55"/>
      <c r="C39" s="56"/>
      <c r="D39" s="58"/>
      <c r="E39" s="55"/>
      <c r="F39" s="56"/>
      <c r="G39" s="60"/>
      <c r="H39" s="55"/>
      <c r="I39" s="56"/>
      <c r="J39" s="60"/>
      <c r="K39" s="62"/>
      <c r="L39" s="63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55"/>
      <c r="C40" s="56"/>
      <c r="D40" s="58"/>
      <c r="E40" s="55"/>
      <c r="F40" s="56"/>
      <c r="G40" s="60"/>
      <c r="H40" s="55"/>
      <c r="I40" s="56"/>
      <c r="J40" s="60"/>
      <c r="K40" s="62"/>
      <c r="L40" s="63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55"/>
      <c r="C41" s="69"/>
      <c r="D41" s="71"/>
      <c r="E41" s="55"/>
      <c r="F41" s="69"/>
      <c r="G41" s="60"/>
      <c r="H41" s="55"/>
      <c r="I41" s="69"/>
      <c r="J41" s="60"/>
      <c r="K41" s="62"/>
      <c r="L41" s="63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72"/>
      <c r="C42" s="73"/>
      <c r="D42" s="65"/>
      <c r="E42" s="72"/>
      <c r="F42" s="73"/>
      <c r="G42" s="65"/>
      <c r="H42" s="72"/>
      <c r="I42" s="73"/>
      <c r="J42" s="65"/>
      <c r="K42" s="75"/>
      <c r="L42" s="77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77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0"/>
      <c r="M44" s="92"/>
      <c r="N44" s="92"/>
      <c r="O44" s="92"/>
      <c r="P44" s="95">
        <f>SUMPRODUCT(VALUE(K38:K42))-(SUM((L38:L42)))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2"/>
      <c r="C45" s="24"/>
      <c r="D45" s="29"/>
      <c r="E45" s="22"/>
      <c r="F45" s="24"/>
      <c r="G45" s="32"/>
      <c r="H45" s="22"/>
      <c r="I45" s="24"/>
      <c r="J45" s="32"/>
      <c r="K45" s="48"/>
      <c r="L45" s="50"/>
      <c r="M45" s="38"/>
      <c r="N45" s="38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55"/>
      <c r="C46" s="56"/>
      <c r="D46" s="58"/>
      <c r="E46" s="55"/>
      <c r="F46" s="56"/>
      <c r="G46" s="60"/>
      <c r="H46" s="55"/>
      <c r="I46" s="56"/>
      <c r="J46" s="60"/>
      <c r="K46" s="62"/>
      <c r="L46" s="63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55"/>
      <c r="C47" s="56"/>
      <c r="D47" s="58"/>
      <c r="E47" s="55"/>
      <c r="F47" s="56"/>
      <c r="G47" s="60"/>
      <c r="H47" s="55"/>
      <c r="I47" s="56"/>
      <c r="J47" s="60"/>
      <c r="K47" s="62"/>
      <c r="L47" s="63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55"/>
      <c r="C48" s="69"/>
      <c r="D48" s="71"/>
      <c r="E48" s="55"/>
      <c r="F48" s="69"/>
      <c r="G48" s="60"/>
      <c r="H48" s="55"/>
      <c r="I48" s="69"/>
      <c r="J48" s="60"/>
      <c r="K48" s="62"/>
      <c r="L48" s="63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72"/>
      <c r="C49" s="73"/>
      <c r="D49" s="65"/>
      <c r="E49" s="72"/>
      <c r="F49" s="73"/>
      <c r="G49" s="65"/>
      <c r="H49" s="72"/>
      <c r="I49" s="73"/>
      <c r="J49" s="65"/>
      <c r="K49" s="75"/>
      <c r="L49" s="77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77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0"/>
      <c r="M51" s="92"/>
      <c r="N51" s="92"/>
      <c r="O51" s="92"/>
      <c r="P51" s="95">
        <f>SUMPRODUCT(VALUE(K45:K49))-(SUM((L45:L49)))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2"/>
      <c r="C52" s="24"/>
      <c r="D52" s="29"/>
      <c r="E52" s="22"/>
      <c r="F52" s="24"/>
      <c r="G52" s="32"/>
      <c r="H52" s="22"/>
      <c r="I52" s="24"/>
      <c r="J52" s="32"/>
      <c r="K52" s="48"/>
      <c r="L52" s="50"/>
      <c r="M52" s="38"/>
      <c r="N52" s="38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55"/>
      <c r="C53" s="56"/>
      <c r="D53" s="58"/>
      <c r="E53" s="55"/>
      <c r="F53" s="56"/>
      <c r="G53" s="60"/>
      <c r="H53" s="55"/>
      <c r="I53" s="56"/>
      <c r="J53" s="60"/>
      <c r="K53" s="62"/>
      <c r="L53" s="63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55"/>
      <c r="C54" s="56"/>
      <c r="D54" s="58"/>
      <c r="E54" s="55"/>
      <c r="F54" s="56"/>
      <c r="G54" s="60"/>
      <c r="H54" s="55"/>
      <c r="I54" s="56"/>
      <c r="J54" s="60"/>
      <c r="K54" s="62"/>
      <c r="L54" s="63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55"/>
      <c r="C55" s="69"/>
      <c r="D55" s="71"/>
      <c r="E55" s="55"/>
      <c r="F55" s="69"/>
      <c r="G55" s="60"/>
      <c r="H55" s="55"/>
      <c r="I55" s="69"/>
      <c r="J55" s="60"/>
      <c r="K55" s="62"/>
      <c r="L55" s="63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72"/>
      <c r="C56" s="73"/>
      <c r="D56" s="65"/>
      <c r="E56" s="72"/>
      <c r="F56" s="73"/>
      <c r="G56" s="65"/>
      <c r="H56" s="72"/>
      <c r="I56" s="73"/>
      <c r="J56" s="65"/>
      <c r="K56" s="75"/>
      <c r="L56" s="77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77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0"/>
      <c r="M58" s="92"/>
      <c r="N58" s="92"/>
      <c r="O58" s="92"/>
      <c r="P58" s="95">
        <f>SUMPRODUCT(VALUE(K52:K56))-(SUM((L52:L56)))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2"/>
      <c r="C59" s="24"/>
      <c r="D59" s="29"/>
      <c r="E59" s="22"/>
      <c r="F59" s="24"/>
      <c r="G59" s="32"/>
      <c r="H59" s="22"/>
      <c r="I59" s="24"/>
      <c r="J59" s="32"/>
      <c r="K59" s="48"/>
      <c r="L59" s="50"/>
      <c r="M59" s="38"/>
      <c r="N59" s="38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55"/>
      <c r="C60" s="56"/>
      <c r="D60" s="58"/>
      <c r="E60" s="55"/>
      <c r="F60" s="56"/>
      <c r="G60" s="60"/>
      <c r="H60" s="55"/>
      <c r="I60" s="56"/>
      <c r="J60" s="60"/>
      <c r="K60" s="62"/>
      <c r="L60" s="63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55"/>
      <c r="C61" s="56"/>
      <c r="D61" s="58"/>
      <c r="E61" s="55"/>
      <c r="F61" s="56"/>
      <c r="G61" s="60"/>
      <c r="H61" s="55"/>
      <c r="I61" s="56"/>
      <c r="J61" s="60"/>
      <c r="K61" s="62"/>
      <c r="L61" s="63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55"/>
      <c r="C62" s="69"/>
      <c r="D62" s="71"/>
      <c r="E62" s="55"/>
      <c r="F62" s="69"/>
      <c r="G62" s="60"/>
      <c r="H62" s="55"/>
      <c r="I62" s="69"/>
      <c r="J62" s="60"/>
      <c r="K62" s="62"/>
      <c r="L62" s="63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72"/>
      <c r="C63" s="73"/>
      <c r="D63" s="65"/>
      <c r="E63" s="72"/>
      <c r="F63" s="73"/>
      <c r="G63" s="65"/>
      <c r="H63" s="72"/>
      <c r="I63" s="73"/>
      <c r="J63" s="65"/>
      <c r="K63" s="75"/>
      <c r="L63" s="77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77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0"/>
      <c r="M65" s="92"/>
      <c r="N65" s="92"/>
      <c r="O65" s="92"/>
      <c r="P65" s="95">
        <f>SUMPRODUCT(VALUE(K59:K63))-(SUM((L59:L63)))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2"/>
      <c r="C66" s="24"/>
      <c r="D66" s="29"/>
      <c r="E66" s="22"/>
      <c r="F66" s="24"/>
      <c r="G66" s="32"/>
      <c r="H66" s="22"/>
      <c r="I66" s="24"/>
      <c r="J66" s="32"/>
      <c r="K66" s="48"/>
      <c r="L66" s="50"/>
      <c r="M66" s="38"/>
      <c r="N66" s="38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55"/>
      <c r="C67" s="56"/>
      <c r="D67" s="58"/>
      <c r="E67" s="55"/>
      <c r="F67" s="56"/>
      <c r="G67" s="60"/>
      <c r="H67" s="55"/>
      <c r="I67" s="56"/>
      <c r="J67" s="60"/>
      <c r="K67" s="62"/>
      <c r="L67" s="63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55"/>
      <c r="C68" s="56"/>
      <c r="D68" s="58"/>
      <c r="E68" s="55"/>
      <c r="F68" s="56"/>
      <c r="G68" s="60"/>
      <c r="H68" s="55"/>
      <c r="I68" s="56"/>
      <c r="J68" s="60"/>
      <c r="K68" s="62"/>
      <c r="L68" s="63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55"/>
      <c r="C69" s="69"/>
      <c r="D69" s="71"/>
      <c r="E69" s="55"/>
      <c r="F69" s="69"/>
      <c r="G69" s="60"/>
      <c r="H69" s="55"/>
      <c r="I69" s="69"/>
      <c r="J69" s="60"/>
      <c r="K69" s="62"/>
      <c r="L69" s="63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72"/>
      <c r="C70" s="73"/>
      <c r="D70" s="65"/>
      <c r="E70" s="72"/>
      <c r="F70" s="73"/>
      <c r="G70" s="65"/>
      <c r="H70" s="72"/>
      <c r="I70" s="73"/>
      <c r="J70" s="65"/>
      <c r="K70" s="75"/>
      <c r="L70" s="77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77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0"/>
      <c r="M72" s="92"/>
      <c r="N72" s="92"/>
      <c r="O72" s="92"/>
      <c r="P72" s="95">
        <f>SUMPRODUCT(VALUE(K66:K70))-(SUM((L66:L70)))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2"/>
      <c r="C73" s="24"/>
      <c r="D73" s="29"/>
      <c r="E73" s="22"/>
      <c r="F73" s="24"/>
      <c r="G73" s="32"/>
      <c r="H73" s="22"/>
      <c r="I73" s="24"/>
      <c r="J73" s="32"/>
      <c r="K73" s="48"/>
      <c r="L73" s="50"/>
      <c r="M73" s="38"/>
      <c r="N73" s="38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55"/>
      <c r="C74" s="56"/>
      <c r="D74" s="58"/>
      <c r="E74" s="55"/>
      <c r="F74" s="56"/>
      <c r="G74" s="60"/>
      <c r="H74" s="55"/>
      <c r="I74" s="56"/>
      <c r="J74" s="60"/>
      <c r="K74" s="62"/>
      <c r="L74" s="63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55"/>
      <c r="C75" s="56"/>
      <c r="D75" s="58"/>
      <c r="E75" s="55"/>
      <c r="F75" s="56"/>
      <c r="G75" s="60"/>
      <c r="H75" s="55"/>
      <c r="I75" s="56"/>
      <c r="J75" s="60"/>
      <c r="K75" s="62"/>
      <c r="L75" s="63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55"/>
      <c r="C76" s="69"/>
      <c r="D76" s="71"/>
      <c r="E76" s="55"/>
      <c r="F76" s="69"/>
      <c r="G76" s="60"/>
      <c r="H76" s="55"/>
      <c r="I76" s="69"/>
      <c r="J76" s="60"/>
      <c r="K76" s="62"/>
      <c r="L76" s="63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72"/>
      <c r="C77" s="73"/>
      <c r="D77" s="65"/>
      <c r="E77" s="72"/>
      <c r="F77" s="73"/>
      <c r="G77" s="65"/>
      <c r="H77" s="72"/>
      <c r="I77" s="73"/>
      <c r="J77" s="65"/>
      <c r="K77" s="75"/>
      <c r="L77" s="77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77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0"/>
      <c r="M79" s="92"/>
      <c r="N79" s="92"/>
      <c r="O79" s="92"/>
      <c r="P79" s="95">
        <f>SUMPRODUCT(VALUE(K73:K77))-(SUM((L73:L77)))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2"/>
      <c r="C80" s="24"/>
      <c r="D80" s="29"/>
      <c r="E80" s="22"/>
      <c r="F80" s="24"/>
      <c r="G80" s="32"/>
      <c r="H80" s="22"/>
      <c r="I80" s="24"/>
      <c r="J80" s="32"/>
      <c r="K80" s="48"/>
      <c r="L80" s="50"/>
      <c r="M80" s="38"/>
      <c r="N80" s="38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55"/>
      <c r="C81" s="56"/>
      <c r="D81" s="58"/>
      <c r="E81" s="55"/>
      <c r="F81" s="56"/>
      <c r="G81" s="60"/>
      <c r="H81" s="55"/>
      <c r="I81" s="56"/>
      <c r="J81" s="60"/>
      <c r="K81" s="62"/>
      <c r="L81" s="63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55"/>
      <c r="C82" s="56"/>
      <c r="D82" s="58"/>
      <c r="E82" s="55"/>
      <c r="F82" s="56"/>
      <c r="G82" s="60"/>
      <c r="H82" s="55"/>
      <c r="I82" s="56"/>
      <c r="J82" s="60"/>
      <c r="K82" s="62"/>
      <c r="L82" s="63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55"/>
      <c r="C83" s="69"/>
      <c r="D83" s="71"/>
      <c r="E83" s="55"/>
      <c r="F83" s="69"/>
      <c r="G83" s="60"/>
      <c r="H83" s="55"/>
      <c r="I83" s="69"/>
      <c r="J83" s="60"/>
      <c r="K83" s="62"/>
      <c r="L83" s="63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72"/>
      <c r="C84" s="73"/>
      <c r="D84" s="65"/>
      <c r="E84" s="72"/>
      <c r="F84" s="73"/>
      <c r="G84" s="65"/>
      <c r="H84" s="72"/>
      <c r="I84" s="73"/>
      <c r="J84" s="65"/>
      <c r="K84" s="75"/>
      <c r="L84" s="77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77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0"/>
      <c r="M86" s="92"/>
      <c r="N86" s="92"/>
      <c r="O86" s="92"/>
      <c r="P86" s="95">
        <f>SUMPRODUCT(VALUE(K80:K84))-(SUM((L80:L84)))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2"/>
      <c r="C87" s="24"/>
      <c r="D87" s="29"/>
      <c r="E87" s="22"/>
      <c r="F87" s="24"/>
      <c r="G87" s="32"/>
      <c r="H87" s="22"/>
      <c r="I87" s="24"/>
      <c r="J87" s="32"/>
      <c r="K87" s="48"/>
      <c r="L87" s="50"/>
      <c r="M87" s="38"/>
      <c r="N87" s="38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55"/>
      <c r="C88" s="56"/>
      <c r="D88" s="58"/>
      <c r="E88" s="55"/>
      <c r="F88" s="56"/>
      <c r="G88" s="60"/>
      <c r="H88" s="55"/>
      <c r="I88" s="56"/>
      <c r="J88" s="60"/>
      <c r="K88" s="62"/>
      <c r="L88" s="63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55"/>
      <c r="C89" s="56"/>
      <c r="D89" s="58"/>
      <c r="E89" s="55"/>
      <c r="F89" s="56"/>
      <c r="G89" s="60"/>
      <c r="H89" s="55"/>
      <c r="I89" s="56"/>
      <c r="J89" s="60"/>
      <c r="K89" s="62"/>
      <c r="L89" s="63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55"/>
      <c r="C90" s="69"/>
      <c r="D90" s="71"/>
      <c r="E90" s="55"/>
      <c r="F90" s="69"/>
      <c r="G90" s="60"/>
      <c r="H90" s="55"/>
      <c r="I90" s="69"/>
      <c r="J90" s="60"/>
      <c r="K90" s="62"/>
      <c r="L90" s="63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72"/>
      <c r="C91" s="73"/>
      <c r="D91" s="65"/>
      <c r="E91" s="72"/>
      <c r="F91" s="73"/>
      <c r="G91" s="65"/>
      <c r="H91" s="72"/>
      <c r="I91" s="73"/>
      <c r="J91" s="65"/>
      <c r="K91" s="75"/>
      <c r="L91" s="77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77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0"/>
      <c r="M93" s="92"/>
      <c r="N93" s="92"/>
      <c r="O93" s="92"/>
      <c r="P93" s="95">
        <f>SUMPRODUCT(VALUE(K87:K91))-(SUM((L87:L91)))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2"/>
      <c r="C94" s="24"/>
      <c r="D94" s="29"/>
      <c r="E94" s="22"/>
      <c r="F94" s="24"/>
      <c r="G94" s="32"/>
      <c r="H94" s="22"/>
      <c r="I94" s="24"/>
      <c r="J94" s="32"/>
      <c r="K94" s="48"/>
      <c r="L94" s="50"/>
      <c r="M94" s="38"/>
      <c r="N94" s="38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55"/>
      <c r="C95" s="56"/>
      <c r="D95" s="58"/>
      <c r="E95" s="55"/>
      <c r="F95" s="56"/>
      <c r="G95" s="60"/>
      <c r="H95" s="55"/>
      <c r="I95" s="56"/>
      <c r="J95" s="60"/>
      <c r="K95" s="62"/>
      <c r="L95" s="63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55"/>
      <c r="C96" s="56"/>
      <c r="D96" s="58"/>
      <c r="E96" s="55"/>
      <c r="F96" s="56"/>
      <c r="G96" s="60"/>
      <c r="H96" s="55"/>
      <c r="I96" s="56"/>
      <c r="J96" s="60"/>
      <c r="K96" s="62"/>
      <c r="L96" s="63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55"/>
      <c r="C97" s="69"/>
      <c r="D97" s="71"/>
      <c r="E97" s="55"/>
      <c r="F97" s="69"/>
      <c r="G97" s="60"/>
      <c r="H97" s="55"/>
      <c r="I97" s="69"/>
      <c r="J97" s="60"/>
      <c r="K97" s="62"/>
      <c r="L97" s="63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72"/>
      <c r="C98" s="73"/>
      <c r="D98" s="65"/>
      <c r="E98" s="72"/>
      <c r="F98" s="73"/>
      <c r="G98" s="65"/>
      <c r="H98" s="72"/>
      <c r="I98" s="73"/>
      <c r="J98" s="65"/>
      <c r="K98" s="75"/>
      <c r="L98" s="77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77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0"/>
      <c r="M100" s="92"/>
      <c r="N100" s="92"/>
      <c r="O100" s="92"/>
      <c r="P100" s="95">
        <f>SUMPRODUCT(VALUE(K94:K98))-(SUM((L94:L98)))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2"/>
      <c r="C101" s="24"/>
      <c r="D101" s="29"/>
      <c r="E101" s="22"/>
      <c r="F101" s="24"/>
      <c r="G101" s="32"/>
      <c r="H101" s="22"/>
      <c r="I101" s="24"/>
      <c r="J101" s="32"/>
      <c r="K101" s="48"/>
      <c r="L101" s="50"/>
      <c r="M101" s="38"/>
      <c r="N101" s="38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55"/>
      <c r="C102" s="56"/>
      <c r="D102" s="58"/>
      <c r="E102" s="55"/>
      <c r="F102" s="56"/>
      <c r="G102" s="60"/>
      <c r="H102" s="55"/>
      <c r="I102" s="56"/>
      <c r="J102" s="60"/>
      <c r="K102" s="62"/>
      <c r="L102" s="63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55"/>
      <c r="C103" s="56"/>
      <c r="D103" s="58"/>
      <c r="E103" s="55"/>
      <c r="F103" s="56"/>
      <c r="G103" s="60"/>
      <c r="H103" s="55"/>
      <c r="I103" s="56"/>
      <c r="J103" s="60"/>
      <c r="K103" s="62"/>
      <c r="L103" s="63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55"/>
      <c r="C104" s="69"/>
      <c r="D104" s="71"/>
      <c r="E104" s="55"/>
      <c r="F104" s="69"/>
      <c r="G104" s="60"/>
      <c r="H104" s="55"/>
      <c r="I104" s="69"/>
      <c r="J104" s="60"/>
      <c r="K104" s="62"/>
      <c r="L104" s="63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72"/>
      <c r="C105" s="73"/>
      <c r="D105" s="65"/>
      <c r="E105" s="72"/>
      <c r="F105" s="73"/>
      <c r="G105" s="65"/>
      <c r="H105" s="72"/>
      <c r="I105" s="73"/>
      <c r="J105" s="65"/>
      <c r="K105" s="75"/>
      <c r="L105" s="77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77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0"/>
      <c r="M107" s="92"/>
      <c r="N107" s="92"/>
      <c r="O107" s="92"/>
      <c r="P107" s="95">
        <f>SUMPRODUCT(VALUE(K101:K105))-(SUM((L101:L105)))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2"/>
      <c r="C108" s="24"/>
      <c r="D108" s="29"/>
      <c r="E108" s="22"/>
      <c r="F108" s="24"/>
      <c r="G108" s="32"/>
      <c r="H108" s="22"/>
      <c r="I108" s="24"/>
      <c r="J108" s="32"/>
      <c r="K108" s="48"/>
      <c r="L108" s="50"/>
      <c r="M108" s="38"/>
      <c r="N108" s="38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55"/>
      <c r="C109" s="56"/>
      <c r="D109" s="58"/>
      <c r="E109" s="55"/>
      <c r="F109" s="56"/>
      <c r="G109" s="60"/>
      <c r="H109" s="55"/>
      <c r="I109" s="56"/>
      <c r="J109" s="60"/>
      <c r="K109" s="62"/>
      <c r="L109" s="63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55"/>
      <c r="C110" s="56"/>
      <c r="D110" s="58"/>
      <c r="E110" s="55"/>
      <c r="F110" s="56"/>
      <c r="G110" s="60"/>
      <c r="H110" s="55"/>
      <c r="I110" s="56"/>
      <c r="J110" s="60"/>
      <c r="K110" s="62"/>
      <c r="L110" s="63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55"/>
      <c r="C111" s="69"/>
      <c r="D111" s="71"/>
      <c r="E111" s="55"/>
      <c r="F111" s="69"/>
      <c r="G111" s="60"/>
      <c r="H111" s="55"/>
      <c r="I111" s="69"/>
      <c r="J111" s="60"/>
      <c r="K111" s="62"/>
      <c r="L111" s="63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72"/>
      <c r="C112" s="73"/>
      <c r="D112" s="65"/>
      <c r="E112" s="72"/>
      <c r="F112" s="73"/>
      <c r="G112" s="65"/>
      <c r="H112" s="72"/>
      <c r="I112" s="73"/>
      <c r="J112" s="65"/>
      <c r="K112" s="75"/>
      <c r="L112" s="77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77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0"/>
      <c r="M114" s="92"/>
      <c r="N114" s="92"/>
      <c r="O114" s="92"/>
      <c r="P114" s="95">
        <f>SUMPRODUCT(VALUE(K108:K112))-(SUM((L108:L112)))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2"/>
      <c r="C115" s="24"/>
      <c r="D115" s="29"/>
      <c r="E115" s="22"/>
      <c r="F115" s="24"/>
      <c r="G115" s="32"/>
      <c r="H115" s="22"/>
      <c r="I115" s="24"/>
      <c r="J115" s="32"/>
      <c r="K115" s="48"/>
      <c r="L115" s="50"/>
      <c r="M115" s="38"/>
      <c r="N115" s="38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55"/>
      <c r="C116" s="56"/>
      <c r="D116" s="58"/>
      <c r="E116" s="55"/>
      <c r="F116" s="56"/>
      <c r="G116" s="60"/>
      <c r="H116" s="55"/>
      <c r="I116" s="56"/>
      <c r="J116" s="60"/>
      <c r="K116" s="62"/>
      <c r="L116" s="63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55"/>
      <c r="C117" s="56"/>
      <c r="D117" s="58"/>
      <c r="E117" s="55"/>
      <c r="F117" s="56"/>
      <c r="G117" s="60"/>
      <c r="H117" s="55"/>
      <c r="I117" s="56"/>
      <c r="J117" s="60"/>
      <c r="K117" s="62"/>
      <c r="L117" s="63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55"/>
      <c r="C118" s="69"/>
      <c r="D118" s="71"/>
      <c r="E118" s="55"/>
      <c r="F118" s="69"/>
      <c r="G118" s="60"/>
      <c r="H118" s="55"/>
      <c r="I118" s="69"/>
      <c r="J118" s="60"/>
      <c r="K118" s="62"/>
      <c r="L118" s="63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72"/>
      <c r="C119" s="73"/>
      <c r="D119" s="65"/>
      <c r="E119" s="72"/>
      <c r="F119" s="73"/>
      <c r="G119" s="65"/>
      <c r="H119" s="72"/>
      <c r="I119" s="73"/>
      <c r="J119" s="65"/>
      <c r="K119" s="75"/>
      <c r="L119" s="77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77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0"/>
      <c r="M121" s="92"/>
      <c r="N121" s="92"/>
      <c r="O121" s="92"/>
      <c r="P121" s="95">
        <f>SUMPRODUCT(VALUE(K115:K119))-(SUM((L115:L119)))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2"/>
      <c r="C122" s="24"/>
      <c r="D122" s="29"/>
      <c r="E122" s="22"/>
      <c r="F122" s="24"/>
      <c r="G122" s="32"/>
      <c r="H122" s="22"/>
      <c r="I122" s="24"/>
      <c r="J122" s="32"/>
      <c r="K122" s="48"/>
      <c r="L122" s="50"/>
      <c r="M122" s="38"/>
      <c r="N122" s="38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55"/>
      <c r="C123" s="56"/>
      <c r="D123" s="58"/>
      <c r="E123" s="55"/>
      <c r="F123" s="56"/>
      <c r="G123" s="60"/>
      <c r="H123" s="55"/>
      <c r="I123" s="56"/>
      <c r="J123" s="60"/>
      <c r="K123" s="62"/>
      <c r="L123" s="63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55"/>
      <c r="C124" s="56"/>
      <c r="D124" s="58"/>
      <c r="E124" s="55"/>
      <c r="F124" s="56"/>
      <c r="G124" s="60"/>
      <c r="H124" s="55"/>
      <c r="I124" s="56"/>
      <c r="J124" s="60"/>
      <c r="K124" s="62"/>
      <c r="L124" s="63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55"/>
      <c r="C125" s="69"/>
      <c r="D125" s="71"/>
      <c r="E125" s="55"/>
      <c r="F125" s="69"/>
      <c r="G125" s="60"/>
      <c r="H125" s="55"/>
      <c r="I125" s="69"/>
      <c r="J125" s="60"/>
      <c r="K125" s="62"/>
      <c r="L125" s="63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72"/>
      <c r="C126" s="73"/>
      <c r="D126" s="65"/>
      <c r="E126" s="72"/>
      <c r="F126" s="73"/>
      <c r="G126" s="65"/>
      <c r="H126" s="72"/>
      <c r="I126" s="73"/>
      <c r="J126" s="65"/>
      <c r="K126" s="75"/>
      <c r="L126" s="77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77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0"/>
      <c r="M128" s="92"/>
      <c r="N128" s="92"/>
      <c r="O128" s="92"/>
      <c r="P128" s="95">
        <f>SUMPRODUCT(VALUE(K122:K126))-(SUM((L122:L126)))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2"/>
      <c r="C129" s="24"/>
      <c r="D129" s="29"/>
      <c r="E129" s="22"/>
      <c r="F129" s="24"/>
      <c r="G129" s="32"/>
      <c r="H129" s="22"/>
      <c r="I129" s="24"/>
      <c r="J129" s="32"/>
      <c r="K129" s="48"/>
      <c r="L129" s="50"/>
      <c r="M129" s="38"/>
      <c r="N129" s="38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55"/>
      <c r="C130" s="56"/>
      <c r="D130" s="58"/>
      <c r="E130" s="55"/>
      <c r="F130" s="56"/>
      <c r="G130" s="60"/>
      <c r="H130" s="55"/>
      <c r="I130" s="56"/>
      <c r="J130" s="60"/>
      <c r="K130" s="62"/>
      <c r="L130" s="63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55"/>
      <c r="C131" s="56"/>
      <c r="D131" s="58"/>
      <c r="E131" s="55"/>
      <c r="F131" s="56"/>
      <c r="G131" s="60"/>
      <c r="H131" s="55"/>
      <c r="I131" s="56"/>
      <c r="J131" s="60"/>
      <c r="K131" s="62"/>
      <c r="L131" s="63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55"/>
      <c r="C132" s="69"/>
      <c r="D132" s="71"/>
      <c r="E132" s="55"/>
      <c r="F132" s="69"/>
      <c r="G132" s="60"/>
      <c r="H132" s="55"/>
      <c r="I132" s="69"/>
      <c r="J132" s="60"/>
      <c r="K132" s="62"/>
      <c r="L132" s="63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72"/>
      <c r="C133" s="73"/>
      <c r="D133" s="65"/>
      <c r="E133" s="72"/>
      <c r="F133" s="73"/>
      <c r="G133" s="65"/>
      <c r="H133" s="72"/>
      <c r="I133" s="73"/>
      <c r="J133" s="65"/>
      <c r="K133" s="75"/>
      <c r="L133" s="77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77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0"/>
      <c r="M135" s="92"/>
      <c r="N135" s="92"/>
      <c r="O135" s="92"/>
      <c r="P135" s="95">
        <f>SUMPRODUCT(VALUE(K129:K133))-(SUM((L129:L133)))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2"/>
      <c r="C136" s="24"/>
      <c r="D136" s="29"/>
      <c r="E136" s="22"/>
      <c r="F136" s="24"/>
      <c r="G136" s="32"/>
      <c r="H136" s="22"/>
      <c r="I136" s="24"/>
      <c r="J136" s="32"/>
      <c r="K136" s="48"/>
      <c r="L136" s="50"/>
      <c r="M136" s="38"/>
      <c r="N136" s="38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55"/>
      <c r="C137" s="56"/>
      <c r="D137" s="58"/>
      <c r="E137" s="55"/>
      <c r="F137" s="56"/>
      <c r="G137" s="60"/>
      <c r="H137" s="55"/>
      <c r="I137" s="56"/>
      <c r="J137" s="60"/>
      <c r="K137" s="62"/>
      <c r="L137" s="63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55"/>
      <c r="C138" s="56"/>
      <c r="D138" s="58"/>
      <c r="E138" s="55"/>
      <c r="F138" s="56"/>
      <c r="G138" s="60"/>
      <c r="H138" s="55"/>
      <c r="I138" s="56"/>
      <c r="J138" s="60"/>
      <c r="K138" s="62"/>
      <c r="L138" s="63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55"/>
      <c r="C139" s="69"/>
      <c r="D139" s="71"/>
      <c r="E139" s="55"/>
      <c r="F139" s="69"/>
      <c r="G139" s="60"/>
      <c r="H139" s="55"/>
      <c r="I139" s="69"/>
      <c r="J139" s="60"/>
      <c r="K139" s="62"/>
      <c r="L139" s="63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72"/>
      <c r="C140" s="73"/>
      <c r="D140" s="65"/>
      <c r="E140" s="72"/>
      <c r="F140" s="73"/>
      <c r="G140" s="65"/>
      <c r="H140" s="72"/>
      <c r="I140" s="73"/>
      <c r="J140" s="65"/>
      <c r="K140" s="75"/>
      <c r="L140" s="77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77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0"/>
      <c r="M142" s="92"/>
      <c r="N142" s="92"/>
      <c r="O142" s="92"/>
      <c r="P142" s="95">
        <f>SUMPRODUCT(VALUE(K136:K140))-(SUM((L136:L140)))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2"/>
      <c r="C143" s="24"/>
      <c r="D143" s="29"/>
      <c r="E143" s="22"/>
      <c r="F143" s="24"/>
      <c r="G143" s="32"/>
      <c r="H143" s="22"/>
      <c r="I143" s="24"/>
      <c r="J143" s="32"/>
      <c r="K143" s="48"/>
      <c r="L143" s="50"/>
      <c r="M143" s="38"/>
      <c r="N143" s="38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55"/>
      <c r="C144" s="56"/>
      <c r="D144" s="58"/>
      <c r="E144" s="55"/>
      <c r="F144" s="56"/>
      <c r="G144" s="60"/>
      <c r="H144" s="55"/>
      <c r="I144" s="56"/>
      <c r="J144" s="60"/>
      <c r="K144" s="62"/>
      <c r="L144" s="63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55"/>
      <c r="C145" s="56"/>
      <c r="D145" s="58"/>
      <c r="E145" s="55"/>
      <c r="F145" s="56"/>
      <c r="G145" s="60"/>
      <c r="H145" s="55"/>
      <c r="I145" s="56"/>
      <c r="J145" s="60"/>
      <c r="K145" s="62"/>
      <c r="L145" s="63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55"/>
      <c r="C146" s="69"/>
      <c r="D146" s="71"/>
      <c r="E146" s="55"/>
      <c r="F146" s="69"/>
      <c r="G146" s="60"/>
      <c r="H146" s="55"/>
      <c r="I146" s="69"/>
      <c r="J146" s="60"/>
      <c r="K146" s="62"/>
      <c r="L146" s="63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72"/>
      <c r="C147" s="73"/>
      <c r="D147" s="65"/>
      <c r="E147" s="72"/>
      <c r="F147" s="73"/>
      <c r="G147" s="65"/>
      <c r="H147" s="72"/>
      <c r="I147" s="73"/>
      <c r="J147" s="65"/>
      <c r="K147" s="75"/>
      <c r="L147" s="77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77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0"/>
      <c r="M149" s="92"/>
      <c r="N149" s="92"/>
      <c r="O149" s="92"/>
      <c r="P149" s="95">
        <f>SUMPRODUCT(VALUE(K143:K147))-(SUM((L143:L147)))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2"/>
      <c r="C150" s="24"/>
      <c r="D150" s="29"/>
      <c r="E150" s="22"/>
      <c r="F150" s="24"/>
      <c r="G150" s="32"/>
      <c r="H150" s="22"/>
      <c r="I150" s="24"/>
      <c r="J150" s="32"/>
      <c r="K150" s="48"/>
      <c r="L150" s="50"/>
      <c r="M150" s="38"/>
      <c r="N150" s="38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55"/>
      <c r="C151" s="56"/>
      <c r="D151" s="58"/>
      <c r="E151" s="55"/>
      <c r="F151" s="56"/>
      <c r="G151" s="60"/>
      <c r="H151" s="55"/>
      <c r="I151" s="56"/>
      <c r="J151" s="60"/>
      <c r="K151" s="62"/>
      <c r="L151" s="63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55"/>
      <c r="C152" s="56"/>
      <c r="D152" s="58"/>
      <c r="E152" s="55"/>
      <c r="F152" s="56"/>
      <c r="G152" s="60"/>
      <c r="H152" s="55"/>
      <c r="I152" s="56"/>
      <c r="J152" s="60"/>
      <c r="K152" s="62"/>
      <c r="L152" s="63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55"/>
      <c r="C153" s="69"/>
      <c r="D153" s="71"/>
      <c r="E153" s="55"/>
      <c r="F153" s="69"/>
      <c r="G153" s="60"/>
      <c r="H153" s="55"/>
      <c r="I153" s="69"/>
      <c r="J153" s="60"/>
      <c r="K153" s="62"/>
      <c r="L153" s="63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72"/>
      <c r="C154" s="73"/>
      <c r="D154" s="65"/>
      <c r="E154" s="72"/>
      <c r="F154" s="73"/>
      <c r="G154" s="65"/>
      <c r="H154" s="72"/>
      <c r="I154" s="73"/>
      <c r="J154" s="65"/>
      <c r="K154" s="75"/>
      <c r="L154" s="77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77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0"/>
      <c r="M156" s="92"/>
      <c r="N156" s="92"/>
      <c r="O156" s="92"/>
      <c r="P156" s="95">
        <f>SUMPRODUCT(VALUE(K150:K154))-(SUM((L150:L154)))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2"/>
      <c r="C157" s="24"/>
      <c r="D157" s="29"/>
      <c r="E157" s="22"/>
      <c r="F157" s="24"/>
      <c r="G157" s="32"/>
      <c r="H157" s="22"/>
      <c r="I157" s="24"/>
      <c r="J157" s="32"/>
      <c r="K157" s="48"/>
      <c r="L157" s="50"/>
      <c r="M157" s="38"/>
      <c r="N157" s="38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55"/>
      <c r="C158" s="56"/>
      <c r="D158" s="58"/>
      <c r="E158" s="55"/>
      <c r="F158" s="56"/>
      <c r="G158" s="60"/>
      <c r="H158" s="55"/>
      <c r="I158" s="56"/>
      <c r="J158" s="60"/>
      <c r="K158" s="62"/>
      <c r="L158" s="63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55"/>
      <c r="C159" s="56"/>
      <c r="D159" s="58"/>
      <c r="E159" s="55"/>
      <c r="F159" s="56"/>
      <c r="G159" s="60"/>
      <c r="H159" s="55"/>
      <c r="I159" s="56"/>
      <c r="J159" s="60"/>
      <c r="K159" s="62"/>
      <c r="L159" s="63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55"/>
      <c r="C160" s="69"/>
      <c r="D160" s="71"/>
      <c r="E160" s="55"/>
      <c r="F160" s="69"/>
      <c r="G160" s="60"/>
      <c r="H160" s="55"/>
      <c r="I160" s="69"/>
      <c r="J160" s="60"/>
      <c r="K160" s="62"/>
      <c r="L160" s="63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72"/>
      <c r="C161" s="73"/>
      <c r="D161" s="65"/>
      <c r="E161" s="72"/>
      <c r="F161" s="73"/>
      <c r="G161" s="65"/>
      <c r="H161" s="72"/>
      <c r="I161" s="73"/>
      <c r="J161" s="65"/>
      <c r="K161" s="75"/>
      <c r="L161" s="77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77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0"/>
      <c r="M163" s="92"/>
      <c r="N163" s="92"/>
      <c r="O163" s="92"/>
      <c r="P163" s="95">
        <f>SUMPRODUCT(VALUE(K157:K161))-(SUM((L157:L161)))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2"/>
      <c r="C164" s="24"/>
      <c r="D164" s="29"/>
      <c r="E164" s="22"/>
      <c r="F164" s="24"/>
      <c r="G164" s="32"/>
      <c r="H164" s="22"/>
      <c r="I164" s="24"/>
      <c r="J164" s="32"/>
      <c r="K164" s="48"/>
      <c r="L164" s="50"/>
      <c r="M164" s="38"/>
      <c r="N164" s="38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55"/>
      <c r="C165" s="56"/>
      <c r="D165" s="58"/>
      <c r="E165" s="55"/>
      <c r="F165" s="56"/>
      <c r="G165" s="60"/>
      <c r="H165" s="55"/>
      <c r="I165" s="56"/>
      <c r="J165" s="60"/>
      <c r="K165" s="62"/>
      <c r="L165" s="63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55"/>
      <c r="C166" s="56"/>
      <c r="D166" s="58"/>
      <c r="E166" s="55"/>
      <c r="F166" s="56"/>
      <c r="G166" s="60"/>
      <c r="H166" s="55"/>
      <c r="I166" s="56"/>
      <c r="J166" s="60"/>
      <c r="K166" s="62"/>
      <c r="L166" s="63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55"/>
      <c r="C167" s="69"/>
      <c r="D167" s="71"/>
      <c r="E167" s="55"/>
      <c r="F167" s="69"/>
      <c r="G167" s="60"/>
      <c r="H167" s="55"/>
      <c r="I167" s="69"/>
      <c r="J167" s="60"/>
      <c r="K167" s="62"/>
      <c r="L167" s="63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72"/>
      <c r="C168" s="73"/>
      <c r="D168" s="65"/>
      <c r="E168" s="72"/>
      <c r="F168" s="73"/>
      <c r="G168" s="65"/>
      <c r="H168" s="72"/>
      <c r="I168" s="73"/>
      <c r="J168" s="65"/>
      <c r="K168" s="75"/>
      <c r="L168" s="77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77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0"/>
      <c r="M170" s="92"/>
      <c r="N170" s="92"/>
      <c r="O170" s="92"/>
      <c r="P170" s="95">
        <f>SUMPRODUCT(VALUE(K164:K168))-(SUM((L164:L168)))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2"/>
      <c r="C171" s="24"/>
      <c r="D171" s="29"/>
      <c r="E171" s="22"/>
      <c r="F171" s="24"/>
      <c r="G171" s="32"/>
      <c r="H171" s="22"/>
      <c r="I171" s="24"/>
      <c r="J171" s="32"/>
      <c r="K171" s="48"/>
      <c r="L171" s="50"/>
      <c r="M171" s="38"/>
      <c r="N171" s="38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55"/>
      <c r="C172" s="56"/>
      <c r="D172" s="58"/>
      <c r="E172" s="55"/>
      <c r="F172" s="56"/>
      <c r="G172" s="60"/>
      <c r="H172" s="55"/>
      <c r="I172" s="56"/>
      <c r="J172" s="60"/>
      <c r="K172" s="62"/>
      <c r="L172" s="63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55"/>
      <c r="C173" s="56"/>
      <c r="D173" s="58"/>
      <c r="E173" s="55"/>
      <c r="F173" s="56"/>
      <c r="G173" s="60"/>
      <c r="H173" s="55"/>
      <c r="I173" s="56"/>
      <c r="J173" s="60"/>
      <c r="K173" s="62"/>
      <c r="L173" s="63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55"/>
      <c r="C174" s="69"/>
      <c r="D174" s="71"/>
      <c r="E174" s="55"/>
      <c r="F174" s="69"/>
      <c r="G174" s="60"/>
      <c r="H174" s="55"/>
      <c r="I174" s="69"/>
      <c r="J174" s="60"/>
      <c r="K174" s="62"/>
      <c r="L174" s="63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72"/>
      <c r="C175" s="73"/>
      <c r="D175" s="65"/>
      <c r="E175" s="72"/>
      <c r="F175" s="73"/>
      <c r="G175" s="65"/>
      <c r="H175" s="72"/>
      <c r="I175" s="73"/>
      <c r="J175" s="65"/>
      <c r="K175" s="75"/>
      <c r="L175" s="77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77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0"/>
      <c r="M177" s="92"/>
      <c r="N177" s="92"/>
      <c r="O177" s="92"/>
      <c r="P177" s="95">
        <f>SUMPRODUCT(VALUE(K171:K175))-(SUM((L171:L175)))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2"/>
      <c r="C178" s="24"/>
      <c r="D178" s="29"/>
      <c r="E178" s="22"/>
      <c r="F178" s="24"/>
      <c r="G178" s="32"/>
      <c r="H178" s="22"/>
      <c r="I178" s="24"/>
      <c r="J178" s="32"/>
      <c r="K178" s="48"/>
      <c r="L178" s="50"/>
      <c r="M178" s="38"/>
      <c r="N178" s="38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55"/>
      <c r="C179" s="56"/>
      <c r="D179" s="58"/>
      <c r="E179" s="55"/>
      <c r="F179" s="56"/>
      <c r="G179" s="60"/>
      <c r="H179" s="55"/>
      <c r="I179" s="56"/>
      <c r="J179" s="60"/>
      <c r="K179" s="62"/>
      <c r="L179" s="63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55"/>
      <c r="C180" s="56"/>
      <c r="D180" s="58"/>
      <c r="E180" s="55"/>
      <c r="F180" s="56"/>
      <c r="G180" s="60"/>
      <c r="H180" s="55"/>
      <c r="I180" s="56"/>
      <c r="J180" s="60"/>
      <c r="K180" s="62"/>
      <c r="L180" s="63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55"/>
      <c r="C181" s="69"/>
      <c r="D181" s="71"/>
      <c r="E181" s="55"/>
      <c r="F181" s="69"/>
      <c r="G181" s="60"/>
      <c r="H181" s="55"/>
      <c r="I181" s="69"/>
      <c r="J181" s="60"/>
      <c r="K181" s="62"/>
      <c r="L181" s="63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72"/>
      <c r="C182" s="73"/>
      <c r="D182" s="65"/>
      <c r="E182" s="72"/>
      <c r="F182" s="73"/>
      <c r="G182" s="65"/>
      <c r="H182" s="72"/>
      <c r="I182" s="73"/>
      <c r="J182" s="65"/>
      <c r="K182" s="75"/>
      <c r="L182" s="77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77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0"/>
      <c r="M184" s="92"/>
      <c r="N184" s="92"/>
      <c r="O184" s="92"/>
      <c r="P184" s="95">
        <f>SUMPRODUCT(VALUE(K178:K182))-(SUM((L178:L182)))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2"/>
      <c r="C185" s="24"/>
      <c r="D185" s="29"/>
      <c r="E185" s="22"/>
      <c r="F185" s="24"/>
      <c r="G185" s="32"/>
      <c r="H185" s="22"/>
      <c r="I185" s="24"/>
      <c r="J185" s="32"/>
      <c r="K185" s="48"/>
      <c r="L185" s="50"/>
      <c r="M185" s="38"/>
      <c r="N185" s="38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55"/>
      <c r="C186" s="56"/>
      <c r="D186" s="58"/>
      <c r="E186" s="55"/>
      <c r="F186" s="56"/>
      <c r="G186" s="60"/>
      <c r="H186" s="55"/>
      <c r="I186" s="56"/>
      <c r="J186" s="60"/>
      <c r="K186" s="62"/>
      <c r="L186" s="63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55"/>
      <c r="C187" s="56"/>
      <c r="D187" s="58"/>
      <c r="E187" s="55"/>
      <c r="F187" s="56"/>
      <c r="G187" s="60"/>
      <c r="H187" s="55"/>
      <c r="I187" s="56"/>
      <c r="J187" s="60"/>
      <c r="K187" s="62"/>
      <c r="L187" s="63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55"/>
      <c r="C188" s="69"/>
      <c r="D188" s="71"/>
      <c r="E188" s="55"/>
      <c r="F188" s="69"/>
      <c r="G188" s="60"/>
      <c r="H188" s="55"/>
      <c r="I188" s="69"/>
      <c r="J188" s="60"/>
      <c r="K188" s="62"/>
      <c r="L188" s="63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72"/>
      <c r="C189" s="73"/>
      <c r="D189" s="65"/>
      <c r="E189" s="72"/>
      <c r="F189" s="73"/>
      <c r="G189" s="65"/>
      <c r="H189" s="72"/>
      <c r="I189" s="73"/>
      <c r="J189" s="65"/>
      <c r="K189" s="75"/>
      <c r="L189" s="77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77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0"/>
      <c r="M191" s="92"/>
      <c r="N191" s="92"/>
      <c r="O191" s="92"/>
      <c r="P191" s="95">
        <f>SUMPRODUCT(VALUE(K185:K189))-(SUM((L185:L189)))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2"/>
      <c r="C192" s="24"/>
      <c r="D192" s="29"/>
      <c r="E192" s="22"/>
      <c r="F192" s="24"/>
      <c r="G192" s="32"/>
      <c r="H192" s="22"/>
      <c r="I192" s="24"/>
      <c r="J192" s="32"/>
      <c r="K192" s="48"/>
      <c r="L192" s="50"/>
      <c r="M192" s="38"/>
      <c r="N192" s="38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55"/>
      <c r="C193" s="56"/>
      <c r="D193" s="58"/>
      <c r="E193" s="55"/>
      <c r="F193" s="56"/>
      <c r="G193" s="60"/>
      <c r="H193" s="55"/>
      <c r="I193" s="56"/>
      <c r="J193" s="60"/>
      <c r="K193" s="62"/>
      <c r="L193" s="63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55"/>
      <c r="C194" s="56"/>
      <c r="D194" s="58"/>
      <c r="E194" s="55"/>
      <c r="F194" s="56"/>
      <c r="G194" s="60"/>
      <c r="H194" s="55"/>
      <c r="I194" s="56"/>
      <c r="J194" s="60"/>
      <c r="K194" s="62"/>
      <c r="L194" s="63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55"/>
      <c r="C195" s="69"/>
      <c r="D195" s="71"/>
      <c r="E195" s="55"/>
      <c r="F195" s="69"/>
      <c r="G195" s="60"/>
      <c r="H195" s="55"/>
      <c r="I195" s="69"/>
      <c r="J195" s="60"/>
      <c r="K195" s="62"/>
      <c r="L195" s="63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72"/>
      <c r="C196" s="73"/>
      <c r="D196" s="65"/>
      <c r="E196" s="72"/>
      <c r="F196" s="73"/>
      <c r="G196" s="65"/>
      <c r="H196" s="72"/>
      <c r="I196" s="73"/>
      <c r="J196" s="65"/>
      <c r="K196" s="75"/>
      <c r="L196" s="77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77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0"/>
      <c r="M198" s="92"/>
      <c r="N198" s="92"/>
      <c r="O198" s="92"/>
      <c r="P198" s="95">
        <f>SUMPRODUCT(VALUE(K192:K196))-(SUM((L192:L196)))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2"/>
      <c r="C199" s="24"/>
      <c r="D199" s="29"/>
      <c r="E199" s="22"/>
      <c r="F199" s="24"/>
      <c r="G199" s="32"/>
      <c r="H199" s="22"/>
      <c r="I199" s="24"/>
      <c r="J199" s="32"/>
      <c r="K199" s="48"/>
      <c r="L199" s="50"/>
      <c r="M199" s="38"/>
      <c r="N199" s="38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55"/>
      <c r="C200" s="56"/>
      <c r="D200" s="58"/>
      <c r="E200" s="55"/>
      <c r="F200" s="56"/>
      <c r="G200" s="60"/>
      <c r="H200" s="55"/>
      <c r="I200" s="56"/>
      <c r="J200" s="60"/>
      <c r="K200" s="62"/>
      <c r="L200" s="63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55"/>
      <c r="C201" s="56"/>
      <c r="D201" s="58"/>
      <c r="E201" s="55"/>
      <c r="F201" s="56"/>
      <c r="G201" s="60"/>
      <c r="H201" s="55"/>
      <c r="I201" s="56"/>
      <c r="J201" s="60"/>
      <c r="K201" s="62"/>
      <c r="L201" s="63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55"/>
      <c r="C202" s="69"/>
      <c r="D202" s="71"/>
      <c r="E202" s="55"/>
      <c r="F202" s="69"/>
      <c r="G202" s="60"/>
      <c r="H202" s="55"/>
      <c r="I202" s="69"/>
      <c r="J202" s="60"/>
      <c r="K202" s="62"/>
      <c r="L202" s="63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72"/>
      <c r="C203" s="73"/>
      <c r="D203" s="65"/>
      <c r="E203" s="72"/>
      <c r="F203" s="73"/>
      <c r="G203" s="65"/>
      <c r="H203" s="72"/>
      <c r="I203" s="73"/>
      <c r="J203" s="65"/>
      <c r="K203" s="75"/>
      <c r="L203" s="77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77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0"/>
      <c r="M205" s="92"/>
      <c r="N205" s="92"/>
      <c r="O205" s="92"/>
      <c r="P205" s="95">
        <f>SUMPRODUCT(VALUE(K199:K203))-(SUM((L199:L203)))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2"/>
      <c r="C206" s="24"/>
      <c r="D206" s="29"/>
      <c r="E206" s="22"/>
      <c r="F206" s="24"/>
      <c r="G206" s="32"/>
      <c r="H206" s="22"/>
      <c r="I206" s="24"/>
      <c r="J206" s="32"/>
      <c r="K206" s="48"/>
      <c r="L206" s="50"/>
      <c r="M206" s="38"/>
      <c r="N206" s="38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55"/>
      <c r="C207" s="56"/>
      <c r="D207" s="58"/>
      <c r="E207" s="55"/>
      <c r="F207" s="56"/>
      <c r="G207" s="60"/>
      <c r="H207" s="55"/>
      <c r="I207" s="56"/>
      <c r="J207" s="60"/>
      <c r="K207" s="62"/>
      <c r="L207" s="63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55"/>
      <c r="C208" s="56"/>
      <c r="D208" s="58"/>
      <c r="E208" s="55"/>
      <c r="F208" s="56"/>
      <c r="G208" s="60"/>
      <c r="H208" s="55"/>
      <c r="I208" s="56"/>
      <c r="J208" s="60"/>
      <c r="K208" s="62"/>
      <c r="L208" s="63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55"/>
      <c r="C209" s="69"/>
      <c r="D209" s="71"/>
      <c r="E209" s="55"/>
      <c r="F209" s="69"/>
      <c r="G209" s="60"/>
      <c r="H209" s="55"/>
      <c r="I209" s="69"/>
      <c r="J209" s="60"/>
      <c r="K209" s="62"/>
      <c r="L209" s="63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72"/>
      <c r="C210" s="73"/>
      <c r="D210" s="65"/>
      <c r="E210" s="72"/>
      <c r="F210" s="73"/>
      <c r="G210" s="65"/>
      <c r="H210" s="72"/>
      <c r="I210" s="73"/>
      <c r="J210" s="65"/>
      <c r="K210" s="75"/>
      <c r="L210" s="77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77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0"/>
      <c r="M212" s="92"/>
      <c r="N212" s="92"/>
      <c r="O212" s="92"/>
      <c r="P212" s="95">
        <f>SUMPRODUCT(VALUE(K206:K210))-(SUM((L206:L210)))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2"/>
      <c r="C213" s="24"/>
      <c r="D213" s="29"/>
      <c r="E213" s="22"/>
      <c r="F213" s="24"/>
      <c r="G213" s="32"/>
      <c r="H213" s="22"/>
      <c r="I213" s="24"/>
      <c r="J213" s="32"/>
      <c r="K213" s="48"/>
      <c r="L213" s="50"/>
      <c r="M213" s="38"/>
      <c r="N213" s="38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55"/>
      <c r="C214" s="56"/>
      <c r="D214" s="58"/>
      <c r="E214" s="55"/>
      <c r="F214" s="56"/>
      <c r="G214" s="60"/>
      <c r="H214" s="55"/>
      <c r="I214" s="56"/>
      <c r="J214" s="60"/>
      <c r="K214" s="62"/>
      <c r="L214" s="63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55"/>
      <c r="C215" s="56"/>
      <c r="D215" s="58"/>
      <c r="E215" s="55"/>
      <c r="F215" s="56"/>
      <c r="G215" s="60"/>
      <c r="H215" s="55"/>
      <c r="I215" s="56"/>
      <c r="J215" s="60"/>
      <c r="K215" s="62"/>
      <c r="L215" s="63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55"/>
      <c r="C216" s="69"/>
      <c r="D216" s="71"/>
      <c r="E216" s="55"/>
      <c r="F216" s="69"/>
      <c r="G216" s="60"/>
      <c r="H216" s="55"/>
      <c r="I216" s="69"/>
      <c r="J216" s="60"/>
      <c r="K216" s="62"/>
      <c r="L216" s="63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72"/>
      <c r="C217" s="73"/>
      <c r="D217" s="65"/>
      <c r="E217" s="72"/>
      <c r="F217" s="73"/>
      <c r="G217" s="65"/>
      <c r="H217" s="72"/>
      <c r="I217" s="73"/>
      <c r="J217" s="65"/>
      <c r="K217" s="75"/>
      <c r="L217" s="77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77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0"/>
      <c r="M219" s="92"/>
      <c r="N219" s="92"/>
      <c r="O219" s="92"/>
      <c r="P219" s="95">
        <f>SUMPRODUCT(VALUE(K213:K217))-(SUM((L213:L217)))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2"/>
      <c r="C220" s="24"/>
      <c r="D220" s="29"/>
      <c r="E220" s="22"/>
      <c r="F220" s="24"/>
      <c r="G220" s="32"/>
      <c r="H220" s="22"/>
      <c r="I220" s="24"/>
      <c r="J220" s="32"/>
      <c r="K220" s="48"/>
      <c r="L220" s="50"/>
      <c r="M220" s="38"/>
      <c r="N220" s="38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55"/>
      <c r="C221" s="56"/>
      <c r="D221" s="58"/>
      <c r="E221" s="55"/>
      <c r="F221" s="56"/>
      <c r="G221" s="60"/>
      <c r="H221" s="55"/>
      <c r="I221" s="56"/>
      <c r="J221" s="60"/>
      <c r="K221" s="62"/>
      <c r="L221" s="63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55"/>
      <c r="C222" s="56"/>
      <c r="D222" s="58"/>
      <c r="E222" s="55"/>
      <c r="F222" s="56"/>
      <c r="G222" s="60"/>
      <c r="H222" s="55"/>
      <c r="I222" s="56"/>
      <c r="J222" s="60"/>
      <c r="K222" s="62"/>
      <c r="L222" s="63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55"/>
      <c r="C223" s="69"/>
      <c r="D223" s="71"/>
      <c r="E223" s="55"/>
      <c r="F223" s="69"/>
      <c r="G223" s="60"/>
      <c r="H223" s="55"/>
      <c r="I223" s="69"/>
      <c r="J223" s="60"/>
      <c r="K223" s="62"/>
      <c r="L223" s="63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72"/>
      <c r="C224" s="73"/>
      <c r="D224" s="65"/>
      <c r="E224" s="72"/>
      <c r="F224" s="73"/>
      <c r="G224" s="65"/>
      <c r="H224" s="72"/>
      <c r="I224" s="73"/>
      <c r="J224" s="65"/>
      <c r="K224" s="75"/>
      <c r="L224" s="77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77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0"/>
      <c r="M226" s="92"/>
      <c r="N226" s="92"/>
      <c r="O226" s="92"/>
      <c r="P226" s="95">
        <f>SUMPRODUCT(VALUE(K220:K224))-(SUM((L220:L224)))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2"/>
      <c r="C227" s="24"/>
      <c r="D227" s="29"/>
      <c r="E227" s="22"/>
      <c r="F227" s="24"/>
      <c r="G227" s="32"/>
      <c r="H227" s="22"/>
      <c r="I227" s="24"/>
      <c r="J227" s="32"/>
      <c r="K227" s="48"/>
      <c r="L227" s="50"/>
      <c r="M227" s="38"/>
      <c r="N227" s="38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55"/>
      <c r="C228" s="56"/>
      <c r="D228" s="58"/>
      <c r="E228" s="55"/>
      <c r="F228" s="56"/>
      <c r="G228" s="60"/>
      <c r="H228" s="55"/>
      <c r="I228" s="56"/>
      <c r="J228" s="60"/>
      <c r="K228" s="62"/>
      <c r="L228" s="63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55"/>
      <c r="C229" s="56"/>
      <c r="D229" s="58"/>
      <c r="E229" s="55"/>
      <c r="F229" s="56"/>
      <c r="G229" s="60"/>
      <c r="H229" s="55"/>
      <c r="I229" s="56"/>
      <c r="J229" s="60"/>
      <c r="K229" s="62"/>
      <c r="L229" s="63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55"/>
      <c r="C230" s="69"/>
      <c r="D230" s="71"/>
      <c r="E230" s="55"/>
      <c r="F230" s="69"/>
      <c r="G230" s="60"/>
      <c r="H230" s="55"/>
      <c r="I230" s="69"/>
      <c r="J230" s="60"/>
      <c r="K230" s="62"/>
      <c r="L230" s="63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72"/>
      <c r="C231" s="73"/>
      <c r="D231" s="65"/>
      <c r="E231" s="72"/>
      <c r="F231" s="73"/>
      <c r="G231" s="65"/>
      <c r="H231" s="72"/>
      <c r="I231" s="73"/>
      <c r="J231" s="65"/>
      <c r="K231" s="75"/>
      <c r="L231" s="77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77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0"/>
      <c r="M233" s="92"/>
      <c r="N233" s="92"/>
      <c r="O233" s="92"/>
      <c r="P233" s="95">
        <f>SUMPRODUCT(VALUE(K227:K231))-(SUM((L227:L231)))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2"/>
      <c r="C234" s="24"/>
      <c r="D234" s="29"/>
      <c r="E234" s="22"/>
      <c r="F234" s="24"/>
      <c r="G234" s="32"/>
      <c r="H234" s="22"/>
      <c r="I234" s="24"/>
      <c r="J234" s="32"/>
      <c r="K234" s="48"/>
      <c r="L234" s="50"/>
      <c r="M234" s="38"/>
      <c r="N234" s="38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55"/>
      <c r="C235" s="56"/>
      <c r="D235" s="58"/>
      <c r="E235" s="55"/>
      <c r="F235" s="56"/>
      <c r="G235" s="60"/>
      <c r="H235" s="55"/>
      <c r="I235" s="56"/>
      <c r="J235" s="60"/>
      <c r="K235" s="62"/>
      <c r="L235" s="63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55"/>
      <c r="C236" s="56"/>
      <c r="D236" s="58"/>
      <c r="E236" s="55"/>
      <c r="F236" s="56"/>
      <c r="G236" s="60"/>
      <c r="H236" s="55"/>
      <c r="I236" s="56"/>
      <c r="J236" s="60"/>
      <c r="K236" s="62"/>
      <c r="L236" s="63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55"/>
      <c r="C237" s="69"/>
      <c r="D237" s="71"/>
      <c r="E237" s="55"/>
      <c r="F237" s="69"/>
      <c r="G237" s="60"/>
      <c r="H237" s="55"/>
      <c r="I237" s="69"/>
      <c r="J237" s="60"/>
      <c r="K237" s="62"/>
      <c r="L237" s="63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72"/>
      <c r="C238" s="73"/>
      <c r="D238" s="65"/>
      <c r="E238" s="72"/>
      <c r="F238" s="73"/>
      <c r="G238" s="65"/>
      <c r="H238" s="72"/>
      <c r="I238" s="73"/>
      <c r="J238" s="65"/>
      <c r="K238" s="75"/>
      <c r="L238" s="77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77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0"/>
      <c r="M240" s="92"/>
      <c r="N240" s="92"/>
      <c r="O240" s="92"/>
      <c r="P240" s="95">
        <f>SUMPRODUCT(VALUE(K234:K238))-(SUM((L234:L238)))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2"/>
      <c r="C241" s="24"/>
      <c r="D241" s="29"/>
      <c r="E241" s="22"/>
      <c r="F241" s="24"/>
      <c r="G241" s="32"/>
      <c r="H241" s="22"/>
      <c r="I241" s="24"/>
      <c r="J241" s="32"/>
      <c r="K241" s="48"/>
      <c r="L241" s="50"/>
      <c r="M241" s="38"/>
      <c r="N241" s="38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55"/>
      <c r="C242" s="56"/>
      <c r="D242" s="58"/>
      <c r="E242" s="55"/>
      <c r="F242" s="56"/>
      <c r="G242" s="60"/>
      <c r="H242" s="55"/>
      <c r="I242" s="56"/>
      <c r="J242" s="60"/>
      <c r="K242" s="62"/>
      <c r="L242" s="63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55"/>
      <c r="C243" s="56"/>
      <c r="D243" s="58"/>
      <c r="E243" s="55"/>
      <c r="F243" s="56"/>
      <c r="G243" s="60"/>
      <c r="H243" s="55"/>
      <c r="I243" s="56"/>
      <c r="J243" s="60"/>
      <c r="K243" s="62"/>
      <c r="L243" s="63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55"/>
      <c r="C244" s="69"/>
      <c r="D244" s="71"/>
      <c r="E244" s="55"/>
      <c r="F244" s="69"/>
      <c r="G244" s="60"/>
      <c r="H244" s="55"/>
      <c r="I244" s="69"/>
      <c r="J244" s="60"/>
      <c r="K244" s="62"/>
      <c r="L244" s="63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72"/>
      <c r="C245" s="73"/>
      <c r="D245" s="65"/>
      <c r="E245" s="72"/>
      <c r="F245" s="73"/>
      <c r="G245" s="65"/>
      <c r="H245" s="72"/>
      <c r="I245" s="73"/>
      <c r="J245" s="65"/>
      <c r="K245" s="75"/>
      <c r="L245" s="77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77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0"/>
      <c r="M247" s="92"/>
      <c r="N247" s="92"/>
      <c r="O247" s="92"/>
      <c r="P247" s="95">
        <f>SUMPRODUCT(VALUE(K241:K245))-(SUM((L241:L245)))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2"/>
      <c r="C248" s="24"/>
      <c r="D248" s="29"/>
      <c r="E248" s="22"/>
      <c r="F248" s="24"/>
      <c r="G248" s="32"/>
      <c r="H248" s="22"/>
      <c r="I248" s="24"/>
      <c r="J248" s="32"/>
      <c r="K248" s="48"/>
      <c r="L248" s="50"/>
      <c r="M248" s="38"/>
      <c r="N248" s="38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55"/>
      <c r="C249" s="56"/>
      <c r="D249" s="58"/>
      <c r="E249" s="55"/>
      <c r="F249" s="56"/>
      <c r="G249" s="60"/>
      <c r="H249" s="55"/>
      <c r="I249" s="56"/>
      <c r="J249" s="60"/>
      <c r="K249" s="62"/>
      <c r="L249" s="63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55"/>
      <c r="C250" s="56"/>
      <c r="D250" s="58"/>
      <c r="E250" s="55"/>
      <c r="F250" s="56"/>
      <c r="G250" s="60"/>
      <c r="H250" s="55"/>
      <c r="I250" s="56"/>
      <c r="J250" s="60"/>
      <c r="K250" s="62"/>
      <c r="L250" s="63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55"/>
      <c r="C251" s="69"/>
      <c r="D251" s="71"/>
      <c r="E251" s="55"/>
      <c r="F251" s="69"/>
      <c r="G251" s="60"/>
      <c r="H251" s="55"/>
      <c r="I251" s="69"/>
      <c r="J251" s="60"/>
      <c r="K251" s="62"/>
      <c r="L251" s="63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72"/>
      <c r="C252" s="73"/>
      <c r="D252" s="65"/>
      <c r="E252" s="72"/>
      <c r="F252" s="73"/>
      <c r="G252" s="65"/>
      <c r="H252" s="72"/>
      <c r="I252" s="73"/>
      <c r="J252" s="65"/>
      <c r="K252" s="75"/>
      <c r="L252" s="77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77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0"/>
      <c r="M254" s="92"/>
      <c r="N254" s="92"/>
      <c r="O254" s="92"/>
      <c r="P254" s="95">
        <f>SUMPRODUCT(VALUE(K248:K252))-(SUM((L248:L252)))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2"/>
      <c r="C255" s="24"/>
      <c r="D255" s="29"/>
      <c r="E255" s="22"/>
      <c r="F255" s="24"/>
      <c r="G255" s="32"/>
      <c r="H255" s="22"/>
      <c r="I255" s="24"/>
      <c r="J255" s="32"/>
      <c r="K255" s="48"/>
      <c r="L255" s="50"/>
      <c r="M255" s="38"/>
      <c r="N255" s="38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55"/>
      <c r="C256" s="56"/>
      <c r="D256" s="58"/>
      <c r="E256" s="55"/>
      <c r="F256" s="56"/>
      <c r="G256" s="60"/>
      <c r="H256" s="55"/>
      <c r="I256" s="56"/>
      <c r="J256" s="60"/>
      <c r="K256" s="62"/>
      <c r="L256" s="63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55"/>
      <c r="C257" s="56"/>
      <c r="D257" s="58"/>
      <c r="E257" s="55"/>
      <c r="F257" s="56"/>
      <c r="G257" s="60"/>
      <c r="H257" s="55"/>
      <c r="I257" s="56"/>
      <c r="J257" s="60"/>
      <c r="K257" s="62"/>
      <c r="L257" s="63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55"/>
      <c r="C258" s="69"/>
      <c r="D258" s="71"/>
      <c r="E258" s="55"/>
      <c r="F258" s="69"/>
      <c r="G258" s="60"/>
      <c r="H258" s="55"/>
      <c r="I258" s="69"/>
      <c r="J258" s="60"/>
      <c r="K258" s="62"/>
      <c r="L258" s="63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72"/>
      <c r="C259" s="73"/>
      <c r="D259" s="65"/>
      <c r="E259" s="72"/>
      <c r="F259" s="73"/>
      <c r="G259" s="65"/>
      <c r="H259" s="72"/>
      <c r="I259" s="73"/>
      <c r="J259" s="65"/>
      <c r="K259" s="75"/>
      <c r="L259" s="77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77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0"/>
      <c r="M261" s="92"/>
      <c r="N261" s="92"/>
      <c r="O261" s="92"/>
      <c r="P261" s="95">
        <f>SUMPRODUCT(VALUE(K255:K259))-(SUM((L255:L259)))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2"/>
      <c r="C262" s="24"/>
      <c r="D262" s="29"/>
      <c r="E262" s="22"/>
      <c r="F262" s="24"/>
      <c r="G262" s="32"/>
      <c r="H262" s="22"/>
      <c r="I262" s="24"/>
      <c r="J262" s="32"/>
      <c r="K262" s="48"/>
      <c r="L262" s="50"/>
      <c r="M262" s="38"/>
      <c r="N262" s="38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55"/>
      <c r="C263" s="56"/>
      <c r="D263" s="58"/>
      <c r="E263" s="55"/>
      <c r="F263" s="56"/>
      <c r="G263" s="60"/>
      <c r="H263" s="55"/>
      <c r="I263" s="56"/>
      <c r="J263" s="60"/>
      <c r="K263" s="62"/>
      <c r="L263" s="63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55"/>
      <c r="C264" s="56"/>
      <c r="D264" s="58"/>
      <c r="E264" s="55"/>
      <c r="F264" s="56"/>
      <c r="G264" s="60"/>
      <c r="H264" s="55"/>
      <c r="I264" s="56"/>
      <c r="J264" s="60"/>
      <c r="K264" s="62"/>
      <c r="L264" s="63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55"/>
      <c r="C265" s="69"/>
      <c r="D265" s="71"/>
      <c r="E265" s="55"/>
      <c r="F265" s="69"/>
      <c r="G265" s="60"/>
      <c r="H265" s="55"/>
      <c r="I265" s="69"/>
      <c r="J265" s="60"/>
      <c r="K265" s="62"/>
      <c r="L265" s="63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72"/>
      <c r="C266" s="73"/>
      <c r="D266" s="65"/>
      <c r="E266" s="72"/>
      <c r="F266" s="73"/>
      <c r="G266" s="65"/>
      <c r="H266" s="72"/>
      <c r="I266" s="73"/>
      <c r="J266" s="65"/>
      <c r="K266" s="75"/>
      <c r="L266" s="77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77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0"/>
      <c r="M268" s="92"/>
      <c r="N268" s="92"/>
      <c r="O268" s="92"/>
      <c r="P268" s="95">
        <f>SUMPRODUCT(VALUE(K262:K266))-(SUM((L262:L266)))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2"/>
      <c r="C269" s="24"/>
      <c r="D269" s="29"/>
      <c r="E269" s="22"/>
      <c r="F269" s="24"/>
      <c r="G269" s="32"/>
      <c r="H269" s="22"/>
      <c r="I269" s="24"/>
      <c r="J269" s="32"/>
      <c r="K269" s="48"/>
      <c r="L269" s="50"/>
      <c r="M269" s="38"/>
      <c r="N269" s="38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55"/>
      <c r="C270" s="56"/>
      <c r="D270" s="58"/>
      <c r="E270" s="55"/>
      <c r="F270" s="56"/>
      <c r="G270" s="60"/>
      <c r="H270" s="55"/>
      <c r="I270" s="56"/>
      <c r="J270" s="60"/>
      <c r="K270" s="62"/>
      <c r="L270" s="63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55"/>
      <c r="C271" s="56"/>
      <c r="D271" s="58"/>
      <c r="E271" s="55"/>
      <c r="F271" s="56"/>
      <c r="G271" s="60"/>
      <c r="H271" s="55"/>
      <c r="I271" s="56"/>
      <c r="J271" s="60"/>
      <c r="K271" s="62"/>
      <c r="L271" s="63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55"/>
      <c r="C272" s="69"/>
      <c r="D272" s="71"/>
      <c r="E272" s="55"/>
      <c r="F272" s="69"/>
      <c r="G272" s="60"/>
      <c r="H272" s="55"/>
      <c r="I272" s="69"/>
      <c r="J272" s="60"/>
      <c r="K272" s="62"/>
      <c r="L272" s="63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72"/>
      <c r="C273" s="73"/>
      <c r="D273" s="65"/>
      <c r="E273" s="72"/>
      <c r="F273" s="73"/>
      <c r="G273" s="65"/>
      <c r="H273" s="72"/>
      <c r="I273" s="73"/>
      <c r="J273" s="65"/>
      <c r="K273" s="75"/>
      <c r="L273" s="77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77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0"/>
      <c r="M275" s="92"/>
      <c r="N275" s="92"/>
      <c r="O275" s="92"/>
      <c r="P275" s="95">
        <f>SUMPRODUCT(VALUE(K269:K273))-(SUM((L269:L273)))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2"/>
      <c r="C276" s="24"/>
      <c r="D276" s="29"/>
      <c r="E276" s="22"/>
      <c r="F276" s="24"/>
      <c r="G276" s="32"/>
      <c r="H276" s="22"/>
      <c r="I276" s="24"/>
      <c r="J276" s="32"/>
      <c r="K276" s="48"/>
      <c r="L276" s="50"/>
      <c r="M276" s="38"/>
      <c r="N276" s="38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55"/>
      <c r="C277" s="56"/>
      <c r="D277" s="58"/>
      <c r="E277" s="55"/>
      <c r="F277" s="56"/>
      <c r="G277" s="60"/>
      <c r="H277" s="55"/>
      <c r="I277" s="56"/>
      <c r="J277" s="60"/>
      <c r="K277" s="62"/>
      <c r="L277" s="63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55"/>
      <c r="C278" s="56"/>
      <c r="D278" s="58"/>
      <c r="E278" s="55"/>
      <c r="F278" s="56"/>
      <c r="G278" s="60"/>
      <c r="H278" s="55"/>
      <c r="I278" s="56"/>
      <c r="J278" s="60"/>
      <c r="K278" s="62"/>
      <c r="L278" s="63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55"/>
      <c r="C279" s="69"/>
      <c r="D279" s="71"/>
      <c r="E279" s="55"/>
      <c r="F279" s="69"/>
      <c r="G279" s="60"/>
      <c r="H279" s="55"/>
      <c r="I279" s="69"/>
      <c r="J279" s="60"/>
      <c r="K279" s="62"/>
      <c r="L279" s="63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72"/>
      <c r="C280" s="73"/>
      <c r="D280" s="65"/>
      <c r="E280" s="72"/>
      <c r="F280" s="73"/>
      <c r="G280" s="65"/>
      <c r="H280" s="72"/>
      <c r="I280" s="73"/>
      <c r="J280" s="65"/>
      <c r="K280" s="75"/>
      <c r="L280" s="77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77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0"/>
      <c r="M282" s="92"/>
      <c r="N282" s="92"/>
      <c r="O282" s="92"/>
      <c r="P282" s="95">
        <f>SUMPRODUCT(VALUE(K276:K280))-(SUM((L276:L280)))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2"/>
      <c r="C283" s="24"/>
      <c r="D283" s="29"/>
      <c r="E283" s="22"/>
      <c r="F283" s="24"/>
      <c r="G283" s="32"/>
      <c r="H283" s="22"/>
      <c r="I283" s="24"/>
      <c r="J283" s="32"/>
      <c r="K283" s="48"/>
      <c r="L283" s="50"/>
      <c r="M283" s="38"/>
      <c r="N283" s="38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55"/>
      <c r="C284" s="56"/>
      <c r="D284" s="58"/>
      <c r="E284" s="55"/>
      <c r="F284" s="56"/>
      <c r="G284" s="60"/>
      <c r="H284" s="55"/>
      <c r="I284" s="56"/>
      <c r="J284" s="60"/>
      <c r="K284" s="62"/>
      <c r="L284" s="63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55"/>
      <c r="C285" s="56"/>
      <c r="D285" s="58"/>
      <c r="E285" s="55"/>
      <c r="F285" s="56"/>
      <c r="G285" s="60"/>
      <c r="H285" s="55"/>
      <c r="I285" s="56"/>
      <c r="J285" s="60"/>
      <c r="K285" s="62"/>
      <c r="L285" s="63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55"/>
      <c r="C286" s="69"/>
      <c r="D286" s="71"/>
      <c r="E286" s="55"/>
      <c r="F286" s="69"/>
      <c r="G286" s="60"/>
      <c r="H286" s="55"/>
      <c r="I286" s="69"/>
      <c r="J286" s="60"/>
      <c r="K286" s="62"/>
      <c r="L286" s="63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72"/>
      <c r="C287" s="73"/>
      <c r="D287" s="65"/>
      <c r="E287" s="72"/>
      <c r="F287" s="73"/>
      <c r="G287" s="65"/>
      <c r="H287" s="72"/>
      <c r="I287" s="73"/>
      <c r="J287" s="65"/>
      <c r="K287" s="75"/>
      <c r="L287" s="77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77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0"/>
      <c r="M289" s="92"/>
      <c r="N289" s="92"/>
      <c r="O289" s="92"/>
      <c r="P289" s="95">
        <f>SUMPRODUCT(VALUE(K283:K287))-(SUM((L283:L287)))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2"/>
      <c r="C290" s="24"/>
      <c r="D290" s="29"/>
      <c r="E290" s="22"/>
      <c r="F290" s="24"/>
      <c r="G290" s="32"/>
      <c r="H290" s="22"/>
      <c r="I290" s="24"/>
      <c r="J290" s="32"/>
      <c r="K290" s="48"/>
      <c r="L290" s="50"/>
      <c r="M290" s="38"/>
      <c r="N290" s="38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55"/>
      <c r="C291" s="56"/>
      <c r="D291" s="58"/>
      <c r="E291" s="55"/>
      <c r="F291" s="56"/>
      <c r="G291" s="60"/>
      <c r="H291" s="55"/>
      <c r="I291" s="56"/>
      <c r="J291" s="60"/>
      <c r="K291" s="62"/>
      <c r="L291" s="63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55"/>
      <c r="C292" s="56"/>
      <c r="D292" s="58"/>
      <c r="E292" s="55"/>
      <c r="F292" s="56"/>
      <c r="G292" s="60"/>
      <c r="H292" s="55"/>
      <c r="I292" s="56"/>
      <c r="J292" s="60"/>
      <c r="K292" s="62"/>
      <c r="L292" s="63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55"/>
      <c r="C293" s="69"/>
      <c r="D293" s="71"/>
      <c r="E293" s="55"/>
      <c r="F293" s="69"/>
      <c r="G293" s="60"/>
      <c r="H293" s="55"/>
      <c r="I293" s="69"/>
      <c r="J293" s="60"/>
      <c r="K293" s="62"/>
      <c r="L293" s="63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72"/>
      <c r="C294" s="73"/>
      <c r="D294" s="65"/>
      <c r="E294" s="72"/>
      <c r="F294" s="73"/>
      <c r="G294" s="65"/>
      <c r="H294" s="72"/>
      <c r="I294" s="73"/>
      <c r="J294" s="65"/>
      <c r="K294" s="75"/>
      <c r="L294" s="77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77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0"/>
      <c r="M296" s="92"/>
      <c r="N296" s="92"/>
      <c r="O296" s="92"/>
      <c r="P296" s="95">
        <f>SUMPRODUCT(VALUE(K290:K294))-(SUM((L290:L294)))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2"/>
      <c r="C297" s="24"/>
      <c r="D297" s="29"/>
      <c r="E297" s="22"/>
      <c r="F297" s="24"/>
      <c r="G297" s="32"/>
      <c r="H297" s="22"/>
      <c r="I297" s="24"/>
      <c r="J297" s="32"/>
      <c r="K297" s="48"/>
      <c r="L297" s="50"/>
      <c r="M297" s="38"/>
      <c r="N297" s="38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55"/>
      <c r="C298" s="56"/>
      <c r="D298" s="58"/>
      <c r="E298" s="55"/>
      <c r="F298" s="56"/>
      <c r="G298" s="60"/>
      <c r="H298" s="55"/>
      <c r="I298" s="56"/>
      <c r="J298" s="60"/>
      <c r="K298" s="62"/>
      <c r="L298" s="63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55"/>
      <c r="C299" s="56"/>
      <c r="D299" s="58"/>
      <c r="E299" s="55"/>
      <c r="F299" s="56"/>
      <c r="G299" s="60"/>
      <c r="H299" s="55"/>
      <c r="I299" s="56"/>
      <c r="J299" s="60"/>
      <c r="K299" s="62"/>
      <c r="L299" s="63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55"/>
      <c r="C300" s="69"/>
      <c r="D300" s="71"/>
      <c r="E300" s="55"/>
      <c r="F300" s="69"/>
      <c r="G300" s="60"/>
      <c r="H300" s="55"/>
      <c r="I300" s="69"/>
      <c r="J300" s="60"/>
      <c r="K300" s="62"/>
      <c r="L300" s="63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72"/>
      <c r="C301" s="73"/>
      <c r="D301" s="65"/>
      <c r="E301" s="72"/>
      <c r="F301" s="73"/>
      <c r="G301" s="65"/>
      <c r="H301" s="72"/>
      <c r="I301" s="73"/>
      <c r="J301" s="65"/>
      <c r="K301" s="75"/>
      <c r="L301" s="77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77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0"/>
      <c r="M303" s="92"/>
      <c r="N303" s="92"/>
      <c r="O303" s="92"/>
      <c r="P303" s="95">
        <f>SUMPRODUCT(VALUE(K297:K301))-(SUM((L297:L301)))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14.63042824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641</v>
      </c>
      <c r="C3" s="26" t="s">
        <v>642</v>
      </c>
      <c r="D3" s="30" t="s">
        <v>643</v>
      </c>
      <c r="E3" s="23"/>
      <c r="F3" s="26"/>
      <c r="G3" s="33"/>
      <c r="H3" s="23"/>
      <c r="I3" s="26"/>
      <c r="J3" s="33"/>
      <c r="K3" s="132" t="s">
        <v>643</v>
      </c>
      <c r="L3" s="108"/>
      <c r="M3" s="39"/>
      <c r="N3" s="39"/>
      <c r="O3" s="39"/>
      <c r="P3" s="127">
        <v>11.1855787037037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644</v>
      </c>
      <c r="C4" s="134" t="s">
        <v>645</v>
      </c>
      <c r="D4" s="135" t="s">
        <v>422</v>
      </c>
      <c r="E4" s="133"/>
      <c r="F4" s="134"/>
      <c r="G4" s="136"/>
      <c r="H4" s="133"/>
      <c r="I4" s="134"/>
      <c r="J4" s="136"/>
      <c r="K4" s="137" t="s">
        <v>422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646</v>
      </c>
      <c r="C5" s="134" t="s">
        <v>432</v>
      </c>
      <c r="D5" s="135" t="s">
        <v>517</v>
      </c>
      <c r="E5" s="133"/>
      <c r="F5" s="134"/>
      <c r="G5" s="136"/>
      <c r="H5" s="133"/>
      <c r="I5" s="134"/>
      <c r="J5" s="136"/>
      <c r="K5" s="137" t="s">
        <v>517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647</v>
      </c>
      <c r="C6" s="138" t="s">
        <v>648</v>
      </c>
      <c r="D6" s="139" t="s">
        <v>649</v>
      </c>
      <c r="E6" s="133"/>
      <c r="F6" s="138"/>
      <c r="G6" s="136"/>
      <c r="H6" s="133"/>
      <c r="I6" s="138"/>
      <c r="J6" s="136"/>
      <c r="K6" s="137" t="s">
        <v>649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650</v>
      </c>
      <c r="C7" s="141" t="s">
        <v>651</v>
      </c>
      <c r="D7" s="70" t="s">
        <v>652</v>
      </c>
      <c r="E7" s="140"/>
      <c r="F7" s="141"/>
      <c r="G7" s="70"/>
      <c r="H7" s="140"/>
      <c r="I7" s="141"/>
      <c r="J7" s="70"/>
      <c r="K7" s="142" t="s">
        <v>652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0.7993055556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653</v>
      </c>
      <c r="C10" s="26" t="s">
        <v>654</v>
      </c>
      <c r="D10" s="30" t="s">
        <v>655</v>
      </c>
      <c r="E10" s="23"/>
      <c r="F10" s="26"/>
      <c r="G10" s="33"/>
      <c r="H10" s="23"/>
      <c r="I10" s="26"/>
      <c r="J10" s="33"/>
      <c r="K10" s="132" t="s">
        <v>655</v>
      </c>
      <c r="L10" s="108"/>
      <c r="M10" s="39"/>
      <c r="N10" s="39"/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656</v>
      </c>
      <c r="C11" s="134" t="s">
        <v>657</v>
      </c>
      <c r="D11" s="135" t="s">
        <v>658</v>
      </c>
      <c r="E11" s="133"/>
      <c r="F11" s="134"/>
      <c r="G11" s="136"/>
      <c r="H11" s="133"/>
      <c r="I11" s="134"/>
      <c r="J11" s="136"/>
      <c r="K11" s="137" t="s">
        <v>658</v>
      </c>
      <c r="L11" s="68"/>
      <c r="M11" s="44"/>
      <c r="N11" s="44"/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653</v>
      </c>
      <c r="C12" s="134" t="s">
        <v>659</v>
      </c>
      <c r="D12" s="135" t="s">
        <v>660</v>
      </c>
      <c r="E12" s="133"/>
      <c r="F12" s="134"/>
      <c r="G12" s="136"/>
      <c r="H12" s="133"/>
      <c r="I12" s="134"/>
      <c r="J12" s="136"/>
      <c r="K12" s="137" t="s">
        <v>660</v>
      </c>
      <c r="L12" s="68"/>
      <c r="M12" s="44"/>
      <c r="N12" s="44"/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661</v>
      </c>
      <c r="C13" s="138" t="s">
        <v>662</v>
      </c>
      <c r="D13" s="139" t="s">
        <v>663</v>
      </c>
      <c r="E13" s="133"/>
      <c r="F13" s="138"/>
      <c r="G13" s="136"/>
      <c r="H13" s="133"/>
      <c r="I13" s="138"/>
      <c r="J13" s="136"/>
      <c r="K13" s="137" t="s">
        <v>663</v>
      </c>
      <c r="L13" s="68"/>
      <c r="M13" s="44"/>
      <c r="N13" s="44"/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664</v>
      </c>
      <c r="C14" s="141" t="s">
        <v>665</v>
      </c>
      <c r="D14" s="70" t="s">
        <v>666</v>
      </c>
      <c r="E14" s="140"/>
      <c r="F14" s="141"/>
      <c r="G14" s="70"/>
      <c r="H14" s="140"/>
      <c r="I14" s="141"/>
      <c r="J14" s="70"/>
      <c r="K14" s="142" t="s">
        <v>666</v>
      </c>
      <c r="L14" s="88"/>
      <c r="M14" s="44"/>
      <c r="N14" s="44"/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0.8306944444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667</v>
      </c>
      <c r="C17" s="26" t="s">
        <v>668</v>
      </c>
      <c r="D17" s="30" t="s">
        <v>669</v>
      </c>
      <c r="E17" s="23"/>
      <c r="F17" s="26"/>
      <c r="G17" s="33"/>
      <c r="H17" s="23"/>
      <c r="I17" s="26"/>
      <c r="J17" s="33"/>
      <c r="K17" s="132" t="s">
        <v>669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670</v>
      </c>
      <c r="C18" s="134" t="s">
        <v>671</v>
      </c>
      <c r="D18" s="135" t="s">
        <v>672</v>
      </c>
      <c r="E18" s="133"/>
      <c r="F18" s="134"/>
      <c r="G18" s="136"/>
      <c r="H18" s="133"/>
      <c r="I18" s="134"/>
      <c r="J18" s="136"/>
      <c r="K18" s="137" t="s">
        <v>672</v>
      </c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673</v>
      </c>
      <c r="C19" s="134" t="s">
        <v>674</v>
      </c>
      <c r="D19" s="135" t="s">
        <v>675</v>
      </c>
      <c r="E19" s="133"/>
      <c r="F19" s="134"/>
      <c r="G19" s="136"/>
      <c r="H19" s="133"/>
      <c r="I19" s="134"/>
      <c r="J19" s="136"/>
      <c r="K19" s="137" t="s">
        <v>675</v>
      </c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676</v>
      </c>
      <c r="C20" s="138" t="s">
        <v>677</v>
      </c>
      <c r="D20" s="139" t="s">
        <v>678</v>
      </c>
      <c r="E20" s="133"/>
      <c r="F20" s="138"/>
      <c r="G20" s="136"/>
      <c r="H20" s="133"/>
      <c r="I20" s="138"/>
      <c r="J20" s="136"/>
      <c r="K20" s="137" t="s">
        <v>678</v>
      </c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679</v>
      </c>
      <c r="C21" s="141" t="s">
        <v>680</v>
      </c>
      <c r="D21" s="70" t="s">
        <v>681</v>
      </c>
      <c r="E21" s="140"/>
      <c r="F21" s="141"/>
      <c r="G21" s="70"/>
      <c r="H21" s="140"/>
      <c r="I21" s="141"/>
      <c r="J21" s="70"/>
      <c r="K21" s="142" t="s">
        <v>681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0.8328587963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/>
      <c r="C25" s="134"/>
      <c r="D25" s="135"/>
      <c r="E25" s="133"/>
      <c r="F25" s="134"/>
      <c r="G25" s="136"/>
      <c r="H25" s="133"/>
      <c r="I25" s="134"/>
      <c r="J25" s="136"/>
      <c r="K25" s="137"/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682</v>
      </c>
      <c r="C26" s="134" t="s">
        <v>683</v>
      </c>
      <c r="D26" s="135" t="s">
        <v>684</v>
      </c>
      <c r="E26" s="133"/>
      <c r="F26" s="134"/>
      <c r="G26" s="136"/>
      <c r="H26" s="133"/>
      <c r="I26" s="134"/>
      <c r="J26" s="136"/>
      <c r="K26" s="137" t="s">
        <v>684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/>
      <c r="C27" s="138"/>
      <c r="D27" s="139"/>
      <c r="E27" s="133"/>
      <c r="F27" s="138"/>
      <c r="G27" s="136"/>
      <c r="H27" s="133"/>
      <c r="I27" s="138"/>
      <c r="J27" s="136"/>
      <c r="K27" s="137"/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685</v>
      </c>
      <c r="C28" s="141" t="s">
        <v>686</v>
      </c>
      <c r="D28" s="70" t="s">
        <v>687</v>
      </c>
      <c r="E28" s="140"/>
      <c r="F28" s="141"/>
      <c r="G28" s="70"/>
      <c r="H28" s="140"/>
      <c r="I28" s="141"/>
      <c r="J28" s="70"/>
      <c r="K28" s="142" t="s">
        <v>687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0.3527662037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688</v>
      </c>
      <c r="C31" s="26" t="s">
        <v>689</v>
      </c>
      <c r="D31" s="30" t="s">
        <v>690</v>
      </c>
      <c r="E31" s="23"/>
      <c r="F31" s="26"/>
      <c r="G31" s="33"/>
      <c r="H31" s="23"/>
      <c r="I31" s="26"/>
      <c r="J31" s="33"/>
      <c r="K31" s="132" t="s">
        <v>690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691</v>
      </c>
      <c r="C32" s="134" t="s">
        <v>692</v>
      </c>
      <c r="D32" s="135" t="s">
        <v>693</v>
      </c>
      <c r="E32" s="133"/>
      <c r="F32" s="134"/>
      <c r="G32" s="136"/>
      <c r="H32" s="133"/>
      <c r="I32" s="134"/>
      <c r="J32" s="136"/>
      <c r="K32" s="137" t="s">
        <v>693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694</v>
      </c>
      <c r="C33" s="134" t="s">
        <v>695</v>
      </c>
      <c r="D33" s="135" t="s">
        <v>696</v>
      </c>
      <c r="E33" s="133" t="s">
        <v>697</v>
      </c>
      <c r="F33" s="134" t="s">
        <v>698</v>
      </c>
      <c r="G33" s="136" t="s">
        <v>699</v>
      </c>
      <c r="H33" s="133"/>
      <c r="I33" s="134"/>
      <c r="J33" s="136"/>
      <c r="K33" s="137" t="s">
        <v>700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0.629224537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20.14298611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701</v>
      </c>
      <c r="C3" s="26" t="s">
        <v>702</v>
      </c>
      <c r="D3" s="30" t="s">
        <v>703</v>
      </c>
      <c r="E3" s="23" t="s">
        <v>704</v>
      </c>
      <c r="F3" s="26" t="s">
        <v>433</v>
      </c>
      <c r="G3" s="33" t="s">
        <v>705</v>
      </c>
      <c r="H3" s="23" t="s">
        <v>706</v>
      </c>
      <c r="I3" s="26" t="s">
        <v>342</v>
      </c>
      <c r="J3" s="33" t="s">
        <v>424</v>
      </c>
      <c r="K3" s="132" t="s">
        <v>707</v>
      </c>
      <c r="L3" s="108"/>
      <c r="M3" s="39"/>
      <c r="N3" s="39"/>
      <c r="O3" s="39"/>
      <c r="P3" s="127">
        <v>17.0581712962963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708</v>
      </c>
      <c r="C4" s="134" t="s">
        <v>709</v>
      </c>
      <c r="D4" s="135" t="s">
        <v>710</v>
      </c>
      <c r="E4" s="133"/>
      <c r="F4" s="134"/>
      <c r="G4" s="136"/>
      <c r="H4" s="133"/>
      <c r="I4" s="134"/>
      <c r="J4" s="136"/>
      <c r="K4" s="137" t="s">
        <v>710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711</v>
      </c>
      <c r="C5" s="134" t="s">
        <v>421</v>
      </c>
      <c r="D5" s="135" t="s">
        <v>712</v>
      </c>
      <c r="E5" s="133" t="s">
        <v>713</v>
      </c>
      <c r="F5" s="134" t="s">
        <v>714</v>
      </c>
      <c r="G5" s="136" t="s">
        <v>715</v>
      </c>
      <c r="H5" s="133" t="s">
        <v>716</v>
      </c>
      <c r="I5" s="134" t="s">
        <v>717</v>
      </c>
      <c r="J5" s="136" t="s">
        <v>419</v>
      </c>
      <c r="K5" s="137" t="s">
        <v>718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719</v>
      </c>
      <c r="C6" s="138" t="s">
        <v>720</v>
      </c>
      <c r="D6" s="139" t="s">
        <v>721</v>
      </c>
      <c r="E6" s="133"/>
      <c r="F6" s="138"/>
      <c r="G6" s="136"/>
      <c r="H6" s="133"/>
      <c r="I6" s="138"/>
      <c r="J6" s="136"/>
      <c r="K6" s="137" t="s">
        <v>721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722</v>
      </c>
      <c r="C7" s="141" t="s">
        <v>723</v>
      </c>
      <c r="D7" s="70" t="s">
        <v>724</v>
      </c>
      <c r="E7" s="140"/>
      <c r="F7" s="141"/>
      <c r="G7" s="70"/>
      <c r="H7" s="140"/>
      <c r="I7" s="141"/>
      <c r="J7" s="70"/>
      <c r="K7" s="142" t="s">
        <v>724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0.8402777778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725</v>
      </c>
      <c r="C10" s="26" t="s">
        <v>726</v>
      </c>
      <c r="D10" s="30" t="s">
        <v>727</v>
      </c>
      <c r="E10" s="23" t="s">
        <v>728</v>
      </c>
      <c r="F10" s="26" t="s">
        <v>729</v>
      </c>
      <c r="G10" s="33" t="s">
        <v>730</v>
      </c>
      <c r="H10" s="23" t="s">
        <v>731</v>
      </c>
      <c r="I10" s="26" t="s">
        <v>732</v>
      </c>
      <c r="J10" s="33" t="s">
        <v>733</v>
      </c>
      <c r="K10" s="132" t="s">
        <v>734</v>
      </c>
      <c r="L10" s="108"/>
      <c r="M10" s="39"/>
      <c r="N10" s="39"/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/>
      <c r="C11" s="134"/>
      <c r="D11" s="135"/>
      <c r="E11" s="133"/>
      <c r="F11" s="134"/>
      <c r="G11" s="136"/>
      <c r="H11" s="133"/>
      <c r="I11" s="134"/>
      <c r="J11" s="136"/>
      <c r="K11" s="137"/>
      <c r="L11" s="68"/>
      <c r="M11" s="44"/>
      <c r="N11" s="44"/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735</v>
      </c>
      <c r="C12" s="134" t="s">
        <v>736</v>
      </c>
      <c r="D12" s="135" t="s">
        <v>737</v>
      </c>
      <c r="E12" s="133"/>
      <c r="F12" s="134"/>
      <c r="G12" s="136"/>
      <c r="H12" s="133"/>
      <c r="I12" s="134"/>
      <c r="J12" s="136"/>
      <c r="K12" s="137" t="s">
        <v>737</v>
      </c>
      <c r="L12" s="68"/>
      <c r="M12" s="44"/>
      <c r="N12" s="44"/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/>
      <c r="C13" s="138"/>
      <c r="D13" s="139"/>
      <c r="E13" s="133"/>
      <c r="F13" s="138"/>
      <c r="G13" s="136"/>
      <c r="H13" s="133"/>
      <c r="I13" s="138"/>
      <c r="J13" s="136"/>
      <c r="K13" s="137"/>
      <c r="L13" s="68"/>
      <c r="M13" s="44"/>
      <c r="N13" s="44"/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738</v>
      </c>
      <c r="C14" s="141" t="s">
        <v>739</v>
      </c>
      <c r="D14" s="70" t="s">
        <v>740</v>
      </c>
      <c r="E14" s="140" t="s">
        <v>741</v>
      </c>
      <c r="F14" s="141" t="s">
        <v>742</v>
      </c>
      <c r="G14" s="70" t="s">
        <v>743</v>
      </c>
      <c r="H14" s="140" t="s">
        <v>744</v>
      </c>
      <c r="I14" s="141" t="s">
        <v>745</v>
      </c>
      <c r="J14" s="70" t="s">
        <v>746</v>
      </c>
      <c r="K14" s="142" t="s">
        <v>747</v>
      </c>
      <c r="L14" s="88"/>
      <c r="M14" s="44"/>
      <c r="N14" s="44"/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0.5064467593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748</v>
      </c>
      <c r="C17" s="26" t="s">
        <v>749</v>
      </c>
      <c r="D17" s="30" t="s">
        <v>750</v>
      </c>
      <c r="E17" s="23" t="s">
        <v>751</v>
      </c>
      <c r="F17" s="26" t="s">
        <v>752</v>
      </c>
      <c r="G17" s="33" t="s">
        <v>628</v>
      </c>
      <c r="H17" s="23"/>
      <c r="I17" s="26"/>
      <c r="J17" s="33"/>
      <c r="K17" s="132" t="s">
        <v>753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/>
      <c r="C18" s="134"/>
      <c r="D18" s="135"/>
      <c r="E18" s="133"/>
      <c r="F18" s="134"/>
      <c r="G18" s="136"/>
      <c r="H18" s="133"/>
      <c r="I18" s="134"/>
      <c r="J18" s="136"/>
      <c r="K18" s="137"/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754</v>
      </c>
      <c r="C19" s="134" t="s">
        <v>755</v>
      </c>
      <c r="D19" s="135" t="s">
        <v>756</v>
      </c>
      <c r="E19" s="133" t="s">
        <v>757</v>
      </c>
      <c r="F19" s="134" t="s">
        <v>758</v>
      </c>
      <c r="G19" s="136" t="s">
        <v>759</v>
      </c>
      <c r="H19" s="133"/>
      <c r="I19" s="134"/>
      <c r="J19" s="136"/>
      <c r="K19" s="137" t="s">
        <v>760</v>
      </c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761</v>
      </c>
      <c r="C20" s="138" t="s">
        <v>762</v>
      </c>
      <c r="D20" s="139" t="s">
        <v>763</v>
      </c>
      <c r="E20" s="133"/>
      <c r="F20" s="138"/>
      <c r="G20" s="136"/>
      <c r="H20" s="133"/>
      <c r="I20" s="138"/>
      <c r="J20" s="136"/>
      <c r="K20" s="137" t="s">
        <v>763</v>
      </c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764</v>
      </c>
      <c r="C21" s="141" t="s">
        <v>765</v>
      </c>
      <c r="D21" s="70" t="s">
        <v>766</v>
      </c>
      <c r="E21" s="140" t="s">
        <v>767</v>
      </c>
      <c r="F21" s="141" t="s">
        <v>768</v>
      </c>
      <c r="G21" s="70" t="s">
        <v>574</v>
      </c>
      <c r="H21" s="140" t="s">
        <v>769</v>
      </c>
      <c r="I21" s="141" t="s">
        <v>770</v>
      </c>
      <c r="J21" s="70" t="s">
        <v>771</v>
      </c>
      <c r="K21" s="142" t="s">
        <v>772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0.8715046296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/>
      <c r="C25" s="134"/>
      <c r="D25" s="135"/>
      <c r="E25" s="133"/>
      <c r="F25" s="134"/>
      <c r="G25" s="136"/>
      <c r="H25" s="133"/>
      <c r="I25" s="134"/>
      <c r="J25" s="136"/>
      <c r="K25" s="137"/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773</v>
      </c>
      <c r="C26" s="134" t="s">
        <v>774</v>
      </c>
      <c r="D26" s="135" t="s">
        <v>775</v>
      </c>
      <c r="E26" s="133" t="s">
        <v>776</v>
      </c>
      <c r="F26" s="134" t="s">
        <v>777</v>
      </c>
      <c r="G26" s="136" t="s">
        <v>778</v>
      </c>
      <c r="H26" s="133"/>
      <c r="I26" s="134"/>
      <c r="J26" s="136"/>
      <c r="K26" s="137" t="s">
        <v>779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780</v>
      </c>
      <c r="C27" s="138" t="s">
        <v>781</v>
      </c>
      <c r="D27" s="139" t="s">
        <v>782</v>
      </c>
      <c r="E27" s="133"/>
      <c r="F27" s="138"/>
      <c r="G27" s="136"/>
      <c r="H27" s="133"/>
      <c r="I27" s="138"/>
      <c r="J27" s="136"/>
      <c r="K27" s="137" t="s">
        <v>782</v>
      </c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783</v>
      </c>
      <c r="C28" s="141"/>
      <c r="D28" s="70" t="s">
        <v>137</v>
      </c>
      <c r="E28" s="140" t="s">
        <v>784</v>
      </c>
      <c r="F28" s="141" t="s">
        <v>785</v>
      </c>
      <c r="G28" s="70" t="s">
        <v>786</v>
      </c>
      <c r="H28" s="140" t="s">
        <v>787</v>
      </c>
      <c r="I28" s="141" t="s">
        <v>788</v>
      </c>
      <c r="J28" s="70" t="s">
        <v>789</v>
      </c>
      <c r="K28" s="142" t="s">
        <v>790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0.5124074074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791</v>
      </c>
      <c r="C31" s="26" t="s">
        <v>792</v>
      </c>
      <c r="D31" s="30" t="s">
        <v>793</v>
      </c>
      <c r="E31" s="23" t="s">
        <v>794</v>
      </c>
      <c r="F31" s="26" t="s">
        <v>795</v>
      </c>
      <c r="G31" s="33" t="s">
        <v>796</v>
      </c>
      <c r="H31" s="23"/>
      <c r="I31" s="26"/>
      <c r="J31" s="33"/>
      <c r="K31" s="132" t="s">
        <v>797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/>
      <c r="C32" s="134"/>
      <c r="D32" s="135"/>
      <c r="E32" s="133"/>
      <c r="F32" s="134"/>
      <c r="G32" s="136"/>
      <c r="H32" s="133"/>
      <c r="I32" s="134"/>
      <c r="J32" s="136"/>
      <c r="K32" s="137"/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798</v>
      </c>
      <c r="C33" s="134" t="s">
        <v>799</v>
      </c>
      <c r="D33" s="135" t="s">
        <v>800</v>
      </c>
      <c r="E33" s="133"/>
      <c r="F33" s="134"/>
      <c r="G33" s="136"/>
      <c r="H33" s="133"/>
      <c r="I33" s="134"/>
      <c r="J33" s="136"/>
      <c r="K33" s="137" t="s">
        <v>800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0.3541782407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105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3.156018519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153"/>
      <c r="C3" s="26"/>
      <c r="D3" s="49">
        <f t="shared" ref="D3:D7" si="1">C3-B3</f>
        <v>0</v>
      </c>
      <c r="E3" s="23"/>
      <c r="F3" s="26"/>
      <c r="G3" s="33"/>
      <c r="H3" s="23"/>
      <c r="I3" s="26"/>
      <c r="J3" s="33"/>
      <c r="K3" s="51">
        <f t="shared" ref="K3:K7" si="2">D3+G3+J3</f>
        <v>0</v>
      </c>
      <c r="L3" s="108"/>
      <c r="M3" s="39"/>
      <c r="N3" s="39"/>
      <c r="O3" s="39"/>
      <c r="P3" s="127"/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54"/>
      <c r="C4" s="155"/>
      <c r="D4" s="61">
        <f t="shared" si="1"/>
        <v>0</v>
      </c>
      <c r="E4" s="133"/>
      <c r="F4" s="134"/>
      <c r="G4" s="136"/>
      <c r="H4" s="133"/>
      <c r="I4" s="134"/>
      <c r="J4" s="136"/>
      <c r="K4" s="64">
        <f t="shared" si="2"/>
        <v>0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56" t="s">
        <v>801</v>
      </c>
      <c r="C5" s="134" t="s">
        <v>802</v>
      </c>
      <c r="D5" s="61">
        <f t="shared" si="1"/>
        <v>0.1666666667</v>
      </c>
      <c r="E5" s="133"/>
      <c r="F5" s="134"/>
      <c r="G5" s="136"/>
      <c r="H5" s="133"/>
      <c r="I5" s="134"/>
      <c r="J5" s="136"/>
      <c r="K5" s="64">
        <f t="shared" si="2"/>
        <v>0.1666666667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803</v>
      </c>
      <c r="C6" s="138" t="s">
        <v>804</v>
      </c>
      <c r="D6" s="61">
        <f t="shared" si="1"/>
        <v>0.1701388889</v>
      </c>
      <c r="E6" s="133"/>
      <c r="F6" s="138"/>
      <c r="G6" s="136"/>
      <c r="H6" s="133"/>
      <c r="I6" s="138"/>
      <c r="J6" s="136"/>
      <c r="K6" s="64">
        <f t="shared" si="2"/>
        <v>0.1701388889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716</v>
      </c>
      <c r="C7" s="141" t="s">
        <v>805</v>
      </c>
      <c r="D7" s="78">
        <f t="shared" si="1"/>
        <v>0.16875</v>
      </c>
      <c r="E7" s="140"/>
      <c r="F7" s="141"/>
      <c r="G7" s="70"/>
      <c r="H7" s="140"/>
      <c r="I7" s="141"/>
      <c r="J7" s="70"/>
      <c r="K7" s="80">
        <f t="shared" si="2"/>
        <v>0.16875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0.5055555556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806</v>
      </c>
      <c r="C10" s="141" t="s">
        <v>807</v>
      </c>
      <c r="D10" s="49">
        <f t="shared" ref="D10:D14" si="3">C10-B10</f>
        <v>0.1637731481</v>
      </c>
      <c r="E10" s="23"/>
      <c r="F10" s="26"/>
      <c r="G10" s="33"/>
      <c r="H10" s="23"/>
      <c r="I10" s="26"/>
      <c r="J10" s="33"/>
      <c r="K10" s="51">
        <f t="shared" ref="K10:K14" si="4">D10+G10+J10</f>
        <v>0.1637731481</v>
      </c>
      <c r="L10" s="108"/>
      <c r="M10" s="39"/>
      <c r="N10" s="39"/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808</v>
      </c>
      <c r="C11" s="134" t="s">
        <v>809</v>
      </c>
      <c r="D11" s="61">
        <f t="shared" si="3"/>
        <v>0.2083101852</v>
      </c>
      <c r="E11" s="133"/>
      <c r="F11" s="134"/>
      <c r="G11" s="136"/>
      <c r="H11" s="133"/>
      <c r="I11" s="134"/>
      <c r="J11" s="136"/>
      <c r="K11" s="64">
        <f t="shared" si="4"/>
        <v>0.2083101852</v>
      </c>
      <c r="L11" s="68"/>
      <c r="M11" s="44"/>
      <c r="N11" s="44"/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810</v>
      </c>
      <c r="C12" s="134" t="s">
        <v>811</v>
      </c>
      <c r="D12" s="61">
        <f t="shared" si="3"/>
        <v>0.1695023148</v>
      </c>
      <c r="E12" s="133"/>
      <c r="F12" s="134"/>
      <c r="G12" s="136"/>
      <c r="H12" s="133"/>
      <c r="I12" s="134"/>
      <c r="J12" s="136"/>
      <c r="K12" s="64">
        <f t="shared" si="4"/>
        <v>0.1695023148</v>
      </c>
      <c r="L12" s="66">
        <v>0.002835648148148148</v>
      </c>
      <c r="M12" s="44"/>
      <c r="N12" s="44"/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812</v>
      </c>
      <c r="C13" s="138" t="s">
        <v>813</v>
      </c>
      <c r="D13" s="61">
        <f t="shared" si="3"/>
        <v>0.1613078704</v>
      </c>
      <c r="E13" s="133"/>
      <c r="F13" s="138"/>
      <c r="G13" s="136"/>
      <c r="H13" s="133"/>
      <c r="I13" s="138"/>
      <c r="J13" s="136"/>
      <c r="K13" s="64">
        <f t="shared" si="4"/>
        <v>0.1613078704</v>
      </c>
      <c r="L13" s="68"/>
      <c r="M13" s="44"/>
      <c r="N13" s="44"/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814</v>
      </c>
      <c r="C14" s="141" t="s">
        <v>807</v>
      </c>
      <c r="D14" s="78">
        <f t="shared" si="3"/>
        <v>0.1791782407</v>
      </c>
      <c r="E14" s="140"/>
      <c r="F14" s="141"/>
      <c r="G14" s="70"/>
      <c r="H14" s="140"/>
      <c r="I14" s="141"/>
      <c r="J14" s="70"/>
      <c r="K14" s="80">
        <f t="shared" si="4"/>
        <v>0.1791782407</v>
      </c>
      <c r="L14" s="82">
        <v>0.01251157407407407</v>
      </c>
      <c r="M14" s="44"/>
      <c r="N14" s="44"/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0.866724537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815</v>
      </c>
      <c r="C17" s="26" t="s">
        <v>816</v>
      </c>
      <c r="D17" s="30" t="s">
        <v>817</v>
      </c>
      <c r="E17" s="23"/>
      <c r="F17" s="26"/>
      <c r="G17" s="33"/>
      <c r="H17" s="23"/>
      <c r="I17" s="26"/>
      <c r="J17" s="33"/>
      <c r="K17" s="132" t="s">
        <v>817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/>
      <c r="C18" s="134"/>
      <c r="D18" s="135"/>
      <c r="E18" s="133"/>
      <c r="F18" s="134"/>
      <c r="G18" s="136"/>
      <c r="H18" s="133"/>
      <c r="I18" s="134"/>
      <c r="J18" s="136"/>
      <c r="K18" s="137"/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818</v>
      </c>
      <c r="C19" s="134" t="s">
        <v>819</v>
      </c>
      <c r="D19" s="135" t="s">
        <v>820</v>
      </c>
      <c r="E19" s="133"/>
      <c r="F19" s="134"/>
      <c r="G19" s="136"/>
      <c r="H19" s="133"/>
      <c r="I19" s="134"/>
      <c r="J19" s="136"/>
      <c r="K19" s="137" t="s">
        <v>820</v>
      </c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821</v>
      </c>
      <c r="C20" s="138" t="s">
        <v>822</v>
      </c>
      <c r="D20" s="139" t="s">
        <v>823</v>
      </c>
      <c r="E20" s="133"/>
      <c r="F20" s="138"/>
      <c r="G20" s="136"/>
      <c r="H20" s="133"/>
      <c r="I20" s="138"/>
      <c r="J20" s="136"/>
      <c r="K20" s="137" t="s">
        <v>823</v>
      </c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824</v>
      </c>
      <c r="C21" s="141" t="s">
        <v>825</v>
      </c>
      <c r="D21" s="70" t="s">
        <v>826</v>
      </c>
      <c r="E21" s="140"/>
      <c r="F21" s="141"/>
      <c r="G21" s="70"/>
      <c r="H21" s="140"/>
      <c r="I21" s="141"/>
      <c r="J21" s="70"/>
      <c r="K21" s="142" t="s">
        <v>826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0.6596990741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827</v>
      </c>
      <c r="C25" s="134" t="s">
        <v>828</v>
      </c>
      <c r="D25" s="135" t="s">
        <v>829</v>
      </c>
      <c r="E25" s="133"/>
      <c r="F25" s="134"/>
      <c r="G25" s="136"/>
      <c r="H25" s="133"/>
      <c r="I25" s="134"/>
      <c r="J25" s="136"/>
      <c r="K25" s="137" t="s">
        <v>829</v>
      </c>
      <c r="L25" s="68"/>
      <c r="M25" s="44"/>
      <c r="N25" s="44" t="s">
        <v>608</v>
      </c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830</v>
      </c>
      <c r="C26" s="134" t="s">
        <v>831</v>
      </c>
      <c r="D26" s="135" t="s">
        <v>832</v>
      </c>
      <c r="E26" s="133"/>
      <c r="F26" s="134"/>
      <c r="G26" s="136"/>
      <c r="H26" s="133"/>
      <c r="I26" s="134"/>
      <c r="J26" s="136"/>
      <c r="K26" s="137" t="s">
        <v>832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665</v>
      </c>
      <c r="C27" s="138" t="s">
        <v>833</v>
      </c>
      <c r="D27" s="139" t="s">
        <v>834</v>
      </c>
      <c r="E27" s="133"/>
      <c r="F27" s="138"/>
      <c r="G27" s="136"/>
      <c r="H27" s="133"/>
      <c r="I27" s="138"/>
      <c r="J27" s="136"/>
      <c r="K27" s="137" t="s">
        <v>834</v>
      </c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835</v>
      </c>
      <c r="C28" s="141" t="s">
        <v>836</v>
      </c>
      <c r="D28" s="70" t="s">
        <v>837</v>
      </c>
      <c r="E28" s="140"/>
      <c r="F28" s="141"/>
      <c r="G28" s="70"/>
      <c r="H28" s="140"/>
      <c r="I28" s="141"/>
      <c r="J28" s="70"/>
      <c r="K28" s="142" t="s">
        <v>837</v>
      </c>
      <c r="L28" s="88"/>
      <c r="M28" s="44"/>
      <c r="N28" s="44" t="s">
        <v>608</v>
      </c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0.7540509259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838</v>
      </c>
      <c r="C31" s="26" t="s">
        <v>839</v>
      </c>
      <c r="D31" s="30" t="s">
        <v>840</v>
      </c>
      <c r="E31" s="23"/>
      <c r="F31" s="26"/>
      <c r="G31" s="33"/>
      <c r="H31" s="23"/>
      <c r="I31" s="26"/>
      <c r="J31" s="33"/>
      <c r="K31" s="132" t="s">
        <v>840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841</v>
      </c>
      <c r="C32" s="134" t="s">
        <v>828</v>
      </c>
      <c r="D32" s="135" t="s">
        <v>842</v>
      </c>
      <c r="E32" s="133"/>
      <c r="F32" s="134"/>
      <c r="G32" s="136"/>
      <c r="H32" s="133"/>
      <c r="I32" s="134"/>
      <c r="J32" s="136"/>
      <c r="K32" s="137" t="s">
        <v>842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843</v>
      </c>
      <c r="C33" s="134"/>
      <c r="D33" s="135" t="s">
        <v>137</v>
      </c>
      <c r="E33" s="133"/>
      <c r="F33" s="134"/>
      <c r="G33" s="136"/>
      <c r="H33" s="133"/>
      <c r="I33" s="134"/>
      <c r="J33" s="136"/>
      <c r="K33" s="137" t="s">
        <v>137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0.3699884259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844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15.66107639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845</v>
      </c>
      <c r="C3" s="26" t="s">
        <v>846</v>
      </c>
      <c r="D3" s="30" t="s">
        <v>847</v>
      </c>
      <c r="E3" s="23"/>
      <c r="F3" s="26"/>
      <c r="G3" s="33"/>
      <c r="H3" s="23"/>
      <c r="I3" s="26"/>
      <c r="J3" s="33"/>
      <c r="K3" s="132" t="s">
        <v>847</v>
      </c>
      <c r="L3" s="53">
        <v>0.00625</v>
      </c>
      <c r="M3" s="39"/>
      <c r="N3" s="39"/>
      <c r="O3" s="39"/>
      <c r="P3" s="127">
        <v>11.98752314814815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848</v>
      </c>
      <c r="C4" s="134" t="s">
        <v>647</v>
      </c>
      <c r="D4" s="135" t="s">
        <v>849</v>
      </c>
      <c r="E4" s="133"/>
      <c r="F4" s="134"/>
      <c r="G4" s="136"/>
      <c r="H4" s="133"/>
      <c r="I4" s="134"/>
      <c r="J4" s="136"/>
      <c r="K4" s="137" t="s">
        <v>849</v>
      </c>
      <c r="L4" s="66">
        <v>0.005555555555555556</v>
      </c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714</v>
      </c>
      <c r="C5" s="134" t="s">
        <v>850</v>
      </c>
      <c r="D5" s="135" t="s">
        <v>847</v>
      </c>
      <c r="E5" s="133"/>
      <c r="F5" s="134"/>
      <c r="G5" s="136"/>
      <c r="H5" s="133"/>
      <c r="I5" s="134"/>
      <c r="J5" s="136"/>
      <c r="K5" s="137" t="s">
        <v>847</v>
      </c>
      <c r="L5" s="66">
        <v>0.00625</v>
      </c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851</v>
      </c>
      <c r="C6" s="138" t="s">
        <v>852</v>
      </c>
      <c r="D6" s="139" t="s">
        <v>707</v>
      </c>
      <c r="E6" s="133"/>
      <c r="F6" s="138"/>
      <c r="G6" s="136"/>
      <c r="H6" s="133"/>
      <c r="I6" s="138"/>
      <c r="J6" s="136"/>
      <c r="K6" s="137" t="s">
        <v>707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853</v>
      </c>
      <c r="C7" s="141" t="s">
        <v>854</v>
      </c>
      <c r="D7" s="70" t="s">
        <v>855</v>
      </c>
      <c r="E7" s="140"/>
      <c r="F7" s="141"/>
      <c r="G7" s="70"/>
      <c r="H7" s="140"/>
      <c r="I7" s="141"/>
      <c r="J7" s="70"/>
      <c r="K7" s="142" t="s">
        <v>855</v>
      </c>
      <c r="L7" s="82">
        <v>0.02361111111111111</v>
      </c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0.8333333333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856</v>
      </c>
      <c r="C10" s="26" t="s">
        <v>857</v>
      </c>
      <c r="D10" s="30" t="s">
        <v>858</v>
      </c>
      <c r="E10" s="23"/>
      <c r="F10" s="26"/>
      <c r="G10" s="33"/>
      <c r="H10" s="23"/>
      <c r="I10" s="26"/>
      <c r="J10" s="33"/>
      <c r="K10" s="132" t="s">
        <v>858</v>
      </c>
      <c r="L10" s="53">
        <v>0.00849537037037037</v>
      </c>
      <c r="M10" s="39"/>
      <c r="N10" s="39" t="s">
        <v>126</v>
      </c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859</v>
      </c>
      <c r="C11" s="134" t="s">
        <v>860</v>
      </c>
      <c r="D11" s="135" t="s">
        <v>861</v>
      </c>
      <c r="E11" s="133" t="s">
        <v>862</v>
      </c>
      <c r="F11" s="134" t="s">
        <v>863</v>
      </c>
      <c r="G11" s="136" t="s">
        <v>864</v>
      </c>
      <c r="H11" s="133"/>
      <c r="I11" s="134"/>
      <c r="J11" s="136"/>
      <c r="K11" s="137" t="s">
        <v>865</v>
      </c>
      <c r="L11" s="66">
        <v>0.006481481481481481</v>
      </c>
      <c r="M11" s="44"/>
      <c r="N11" s="44" t="s">
        <v>126</v>
      </c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866</v>
      </c>
      <c r="C12" s="134" t="s">
        <v>867</v>
      </c>
      <c r="D12" s="135" t="s">
        <v>868</v>
      </c>
      <c r="E12" s="133"/>
      <c r="F12" s="134"/>
      <c r="G12" s="136"/>
      <c r="H12" s="133"/>
      <c r="I12" s="134"/>
      <c r="J12" s="136"/>
      <c r="K12" s="137" t="s">
        <v>868</v>
      </c>
      <c r="L12" s="66">
        <v>0.00244212962962963</v>
      </c>
      <c r="M12" s="44"/>
      <c r="N12" s="44" t="s">
        <v>126</v>
      </c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869</v>
      </c>
      <c r="C13" s="138" t="s">
        <v>870</v>
      </c>
      <c r="D13" s="139" t="s">
        <v>871</v>
      </c>
      <c r="E13" s="133"/>
      <c r="F13" s="138"/>
      <c r="G13" s="136"/>
      <c r="H13" s="133"/>
      <c r="I13" s="138"/>
      <c r="J13" s="136"/>
      <c r="K13" s="137" t="s">
        <v>871</v>
      </c>
      <c r="L13" s="66">
        <v>0.005219907407407407</v>
      </c>
      <c r="M13" s="44"/>
      <c r="N13" s="44" t="s">
        <v>126</v>
      </c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872</v>
      </c>
      <c r="C14" s="141" t="s">
        <v>873</v>
      </c>
      <c r="D14" s="70" t="s">
        <v>874</v>
      </c>
      <c r="E14" s="140"/>
      <c r="F14" s="141"/>
      <c r="G14" s="70"/>
      <c r="H14" s="140"/>
      <c r="I14" s="141"/>
      <c r="J14" s="70"/>
      <c r="K14" s="142" t="s">
        <v>874</v>
      </c>
      <c r="L14" s="88"/>
      <c r="M14" s="44"/>
      <c r="N14" s="44"/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0.8336805556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875</v>
      </c>
      <c r="C17" s="26" t="s">
        <v>876</v>
      </c>
      <c r="D17" s="30" t="s">
        <v>877</v>
      </c>
      <c r="E17" s="23"/>
      <c r="F17" s="26"/>
      <c r="G17" s="33"/>
      <c r="H17" s="23"/>
      <c r="I17" s="26"/>
      <c r="J17" s="33"/>
      <c r="K17" s="132" t="s">
        <v>877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878</v>
      </c>
      <c r="C18" s="134" t="s">
        <v>879</v>
      </c>
      <c r="D18" s="135" t="s">
        <v>880</v>
      </c>
      <c r="E18" s="133"/>
      <c r="F18" s="134"/>
      <c r="G18" s="136"/>
      <c r="H18" s="133"/>
      <c r="I18" s="134"/>
      <c r="J18" s="136"/>
      <c r="K18" s="137" t="s">
        <v>880</v>
      </c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881</v>
      </c>
      <c r="C19" s="134" t="s">
        <v>882</v>
      </c>
      <c r="D19" s="135" t="s">
        <v>883</v>
      </c>
      <c r="E19" s="133"/>
      <c r="F19" s="134"/>
      <c r="G19" s="136"/>
      <c r="H19" s="133"/>
      <c r="I19" s="134"/>
      <c r="J19" s="136"/>
      <c r="K19" s="137" t="s">
        <v>883</v>
      </c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884</v>
      </c>
      <c r="C20" s="138" t="s">
        <v>885</v>
      </c>
      <c r="D20" s="139" t="s">
        <v>886</v>
      </c>
      <c r="E20" s="133"/>
      <c r="F20" s="138"/>
      <c r="G20" s="136"/>
      <c r="H20" s="133"/>
      <c r="I20" s="138"/>
      <c r="J20" s="136"/>
      <c r="K20" s="137" t="s">
        <v>886</v>
      </c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887</v>
      </c>
      <c r="C21" s="141" t="s">
        <v>359</v>
      </c>
      <c r="D21" s="70" t="s">
        <v>888</v>
      </c>
      <c r="E21" s="140"/>
      <c r="F21" s="141"/>
      <c r="G21" s="70"/>
      <c r="H21" s="140"/>
      <c r="I21" s="141"/>
      <c r="J21" s="70"/>
      <c r="K21" s="142" t="s">
        <v>888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0.8483333333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889</v>
      </c>
      <c r="C25" s="134" t="s">
        <v>890</v>
      </c>
      <c r="D25" s="135" t="s">
        <v>214</v>
      </c>
      <c r="E25" s="133"/>
      <c r="F25" s="134"/>
      <c r="G25" s="136"/>
      <c r="H25" s="133"/>
      <c r="I25" s="134"/>
      <c r="J25" s="136"/>
      <c r="K25" s="137" t="s">
        <v>214</v>
      </c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891</v>
      </c>
      <c r="C26" s="134" t="s">
        <v>892</v>
      </c>
      <c r="D26" s="135" t="s">
        <v>893</v>
      </c>
      <c r="E26" s="133"/>
      <c r="F26" s="134"/>
      <c r="G26" s="136"/>
      <c r="H26" s="133"/>
      <c r="I26" s="134"/>
      <c r="J26" s="136"/>
      <c r="K26" s="137" t="s">
        <v>893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894</v>
      </c>
      <c r="C27" s="138" t="s">
        <v>895</v>
      </c>
      <c r="D27" s="139" t="s">
        <v>896</v>
      </c>
      <c r="E27" s="133"/>
      <c r="F27" s="138"/>
      <c r="G27" s="136"/>
      <c r="H27" s="133"/>
      <c r="I27" s="138"/>
      <c r="J27" s="136"/>
      <c r="K27" s="137" t="s">
        <v>896</v>
      </c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897</v>
      </c>
      <c r="C28" s="141" t="s">
        <v>898</v>
      </c>
      <c r="D28" s="70" t="s">
        <v>899</v>
      </c>
      <c r="E28" s="140"/>
      <c r="F28" s="141"/>
      <c r="G28" s="70"/>
      <c r="H28" s="140"/>
      <c r="I28" s="141"/>
      <c r="J28" s="70"/>
      <c r="K28" s="142" t="s">
        <v>899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0.645162037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900</v>
      </c>
      <c r="C31" s="26" t="s">
        <v>901</v>
      </c>
      <c r="D31" s="30" t="s">
        <v>902</v>
      </c>
      <c r="E31" s="23"/>
      <c r="F31" s="26"/>
      <c r="G31" s="33"/>
      <c r="H31" s="23"/>
      <c r="I31" s="26"/>
      <c r="J31" s="33"/>
      <c r="K31" s="132" t="s">
        <v>902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903</v>
      </c>
      <c r="C32" s="134" t="s">
        <v>904</v>
      </c>
      <c r="D32" s="135" t="s">
        <v>905</v>
      </c>
      <c r="E32" s="133"/>
      <c r="F32" s="134"/>
      <c r="G32" s="136"/>
      <c r="H32" s="133"/>
      <c r="I32" s="134"/>
      <c r="J32" s="136"/>
      <c r="K32" s="137" t="s">
        <v>905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906</v>
      </c>
      <c r="C33" s="134" t="s">
        <v>907</v>
      </c>
      <c r="D33" s="135" t="s">
        <v>908</v>
      </c>
      <c r="E33" s="133"/>
      <c r="F33" s="134"/>
      <c r="G33" s="136"/>
      <c r="H33" s="133"/>
      <c r="I33" s="134"/>
      <c r="J33" s="136"/>
      <c r="K33" s="137" t="s">
        <v>908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 t="s">
        <v>909</v>
      </c>
      <c r="C34" s="138"/>
      <c r="D34" s="139" t="s">
        <v>137</v>
      </c>
      <c r="E34" s="133"/>
      <c r="F34" s="138"/>
      <c r="G34" s="136"/>
      <c r="H34" s="133"/>
      <c r="I34" s="138"/>
      <c r="J34" s="136"/>
      <c r="K34" s="137" t="s">
        <v>137</v>
      </c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0.5130439815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13.33570602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910</v>
      </c>
      <c r="C3" s="26" t="s">
        <v>911</v>
      </c>
      <c r="D3" s="30" t="s">
        <v>912</v>
      </c>
      <c r="E3" s="23"/>
      <c r="F3" s="26"/>
      <c r="G3" s="33"/>
      <c r="H3" s="23"/>
      <c r="I3" s="26"/>
      <c r="J3" s="33"/>
      <c r="K3" s="132" t="s">
        <v>912</v>
      </c>
      <c r="L3" s="108"/>
      <c r="M3" s="39"/>
      <c r="N3" s="39"/>
      <c r="O3" s="39"/>
      <c r="P3" s="127">
        <v>9.878784722222223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913</v>
      </c>
      <c r="C4" s="134" t="s">
        <v>914</v>
      </c>
      <c r="D4" s="135" t="s">
        <v>915</v>
      </c>
      <c r="E4" s="133" t="s">
        <v>916</v>
      </c>
      <c r="F4" s="134" t="s">
        <v>917</v>
      </c>
      <c r="G4" s="136" t="s">
        <v>918</v>
      </c>
      <c r="H4" s="133"/>
      <c r="I4" s="134"/>
      <c r="J4" s="136"/>
      <c r="K4" s="137" t="s">
        <v>920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923</v>
      </c>
      <c r="C5" s="134" t="s">
        <v>702</v>
      </c>
      <c r="D5" s="135" t="s">
        <v>924</v>
      </c>
      <c r="E5" s="133" t="s">
        <v>418</v>
      </c>
      <c r="F5" s="134" t="s">
        <v>925</v>
      </c>
      <c r="G5" s="136" t="s">
        <v>926</v>
      </c>
      <c r="H5" s="133"/>
      <c r="I5" s="134"/>
      <c r="J5" s="136"/>
      <c r="K5" s="137" t="s">
        <v>927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929</v>
      </c>
      <c r="C6" s="138" t="s">
        <v>932</v>
      </c>
      <c r="D6" s="139" t="s">
        <v>933</v>
      </c>
      <c r="E6" s="133"/>
      <c r="F6" s="138"/>
      <c r="G6" s="136"/>
      <c r="H6" s="133"/>
      <c r="I6" s="138"/>
      <c r="J6" s="136"/>
      <c r="K6" s="137" t="s">
        <v>933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935</v>
      </c>
      <c r="C7" s="141" t="s">
        <v>936</v>
      </c>
      <c r="D7" s="70" t="s">
        <v>937</v>
      </c>
      <c r="E7" s="140" t="s">
        <v>938</v>
      </c>
      <c r="F7" s="141" t="s">
        <v>939</v>
      </c>
      <c r="G7" s="70" t="s">
        <v>941</v>
      </c>
      <c r="H7" s="140"/>
      <c r="I7" s="141"/>
      <c r="J7" s="70"/>
      <c r="K7" s="142" t="s">
        <v>942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0.8430555556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951</v>
      </c>
      <c r="C10" s="26" t="s">
        <v>952</v>
      </c>
      <c r="D10" s="49">
        <f t="shared" ref="D10:D14" si="1">C10-B10</f>
        <v>0.07193287037</v>
      </c>
      <c r="E10" s="23"/>
      <c r="F10" s="26"/>
      <c r="G10" s="33"/>
      <c r="H10" s="23"/>
      <c r="I10" s="26"/>
      <c r="J10" s="33"/>
      <c r="K10" s="51">
        <f t="shared" ref="K10:K14" si="2">D10+G10+J10</f>
        <v>0.07193287037</v>
      </c>
      <c r="L10" s="108"/>
      <c r="M10" s="39"/>
      <c r="N10" s="39"/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955</v>
      </c>
      <c r="C11" s="134" t="s">
        <v>956</v>
      </c>
      <c r="D11" s="61">
        <f t="shared" si="1"/>
        <v>0.220462963</v>
      </c>
      <c r="E11" s="133"/>
      <c r="F11" s="134"/>
      <c r="G11" s="136"/>
      <c r="H11" s="133"/>
      <c r="I11" s="134"/>
      <c r="J11" s="136"/>
      <c r="K11" s="64">
        <f t="shared" si="2"/>
        <v>0.220462963</v>
      </c>
      <c r="L11" s="68"/>
      <c r="M11" s="44"/>
      <c r="N11" s="44" t="s">
        <v>957</v>
      </c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958</v>
      </c>
      <c r="C12" s="134" t="s">
        <v>702</v>
      </c>
      <c r="D12" s="61">
        <f t="shared" si="1"/>
        <v>0.06236111111</v>
      </c>
      <c r="E12" s="133" t="s">
        <v>959</v>
      </c>
      <c r="F12" s="134" t="s">
        <v>960</v>
      </c>
      <c r="G12" s="136" t="s">
        <v>961</v>
      </c>
      <c r="H12" s="133"/>
      <c r="I12" s="134"/>
      <c r="J12" s="136"/>
      <c r="K12" s="64">
        <f t="shared" si="2"/>
        <v>0.1851967593</v>
      </c>
      <c r="L12" s="68"/>
      <c r="M12" s="44"/>
      <c r="N12" s="44"/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962</v>
      </c>
      <c r="C13" s="138" t="s">
        <v>963</v>
      </c>
      <c r="D13" s="61">
        <f t="shared" si="1"/>
        <v>0.02552083333</v>
      </c>
      <c r="E13" s="133" t="s">
        <v>935</v>
      </c>
      <c r="F13" s="138" t="s">
        <v>895</v>
      </c>
      <c r="G13" s="136" t="s">
        <v>964</v>
      </c>
      <c r="H13" s="133" t="s">
        <v>965</v>
      </c>
      <c r="I13" s="138" t="s">
        <v>966</v>
      </c>
      <c r="J13" s="136" t="s">
        <v>967</v>
      </c>
      <c r="K13" s="64">
        <f t="shared" si="2"/>
        <v>0.1856481481</v>
      </c>
      <c r="L13" s="68"/>
      <c r="M13" s="44"/>
      <c r="N13" s="44" t="s">
        <v>957</v>
      </c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969</v>
      </c>
      <c r="C14" s="141" t="s">
        <v>970</v>
      </c>
      <c r="D14" s="78">
        <f t="shared" si="1"/>
        <v>0.07226851852</v>
      </c>
      <c r="E14" s="140" t="s">
        <v>971</v>
      </c>
      <c r="F14" s="141" t="s">
        <v>972</v>
      </c>
      <c r="G14" s="70" t="s">
        <v>973</v>
      </c>
      <c r="H14" s="140"/>
      <c r="I14" s="141"/>
      <c r="J14" s="70"/>
      <c r="K14" s="80">
        <f t="shared" si="2"/>
        <v>0.1997222222</v>
      </c>
      <c r="L14" s="88"/>
      <c r="M14" s="44"/>
      <c r="N14" s="44" t="s">
        <v>957</v>
      </c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128">
        <f>SUMPRODUCT(VALUE(K10:K14))-(SUM(L10:L14))</f>
        <v>0.862962963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976</v>
      </c>
      <c r="C17" s="26" t="s">
        <v>977</v>
      </c>
      <c r="D17" s="30" t="s">
        <v>978</v>
      </c>
      <c r="E17" s="23"/>
      <c r="F17" s="26"/>
      <c r="G17" s="33"/>
      <c r="H17" s="23"/>
      <c r="I17" s="26"/>
      <c r="J17" s="33"/>
      <c r="K17" s="132" t="s">
        <v>978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981</v>
      </c>
      <c r="C18" s="134" t="s">
        <v>982</v>
      </c>
      <c r="D18" s="135" t="s">
        <v>575</v>
      </c>
      <c r="E18" s="133" t="s">
        <v>983</v>
      </c>
      <c r="F18" s="134" t="s">
        <v>984</v>
      </c>
      <c r="G18" s="136" t="s">
        <v>985</v>
      </c>
      <c r="H18" s="133"/>
      <c r="I18" s="134"/>
      <c r="J18" s="136"/>
      <c r="K18" s="137" t="s">
        <v>986</v>
      </c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/>
      <c r="C19" s="134"/>
      <c r="D19" s="135"/>
      <c r="E19" s="133"/>
      <c r="F19" s="134"/>
      <c r="G19" s="136"/>
      <c r="H19" s="133"/>
      <c r="I19" s="134"/>
      <c r="J19" s="136"/>
      <c r="K19" s="137"/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987</v>
      </c>
      <c r="C20" s="138" t="s">
        <v>988</v>
      </c>
      <c r="D20" s="139" t="s">
        <v>989</v>
      </c>
      <c r="E20" s="133"/>
      <c r="F20" s="138"/>
      <c r="G20" s="136"/>
      <c r="H20" s="133"/>
      <c r="I20" s="138"/>
      <c r="J20" s="136"/>
      <c r="K20" s="137" t="s">
        <v>989</v>
      </c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990</v>
      </c>
      <c r="C21" s="141" t="s">
        <v>991</v>
      </c>
      <c r="D21" s="70" t="s">
        <v>992</v>
      </c>
      <c r="E21" s="140" t="s">
        <v>993</v>
      </c>
      <c r="F21" s="141" t="s">
        <v>994</v>
      </c>
      <c r="G21" s="70" t="s">
        <v>995</v>
      </c>
      <c r="H21" s="140"/>
      <c r="I21" s="141"/>
      <c r="J21" s="70"/>
      <c r="K21" s="142" t="s">
        <v>996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0.6238078704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1003</v>
      </c>
      <c r="C25" s="134" t="s">
        <v>1004</v>
      </c>
      <c r="D25" s="135" t="s">
        <v>1005</v>
      </c>
      <c r="E25" s="133" t="s">
        <v>1006</v>
      </c>
      <c r="F25" s="134" t="s">
        <v>1008</v>
      </c>
      <c r="G25" s="136" t="s">
        <v>1010</v>
      </c>
      <c r="H25" s="133"/>
      <c r="I25" s="134"/>
      <c r="J25" s="136"/>
      <c r="K25" s="137" t="s">
        <v>1012</v>
      </c>
      <c r="L25" s="68"/>
      <c r="M25" s="44"/>
      <c r="N25" s="44" t="s">
        <v>608</v>
      </c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1013</v>
      </c>
      <c r="C26" s="134" t="s">
        <v>1014</v>
      </c>
      <c r="D26" s="135" t="s">
        <v>1015</v>
      </c>
      <c r="E26" s="133" t="s">
        <v>1016</v>
      </c>
      <c r="F26" s="134" t="s">
        <v>1017</v>
      </c>
      <c r="G26" s="136" t="s">
        <v>1018</v>
      </c>
      <c r="H26" s="133"/>
      <c r="I26" s="134"/>
      <c r="J26" s="136"/>
      <c r="K26" s="137" t="s">
        <v>1019</v>
      </c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/>
      <c r="C27" s="138"/>
      <c r="D27" s="139"/>
      <c r="E27" s="133"/>
      <c r="F27" s="138"/>
      <c r="G27" s="136"/>
      <c r="H27" s="133"/>
      <c r="I27" s="138"/>
      <c r="J27" s="136"/>
      <c r="K27" s="137"/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64">
        <v>0.4166666666666667</v>
      </c>
      <c r="C28" s="145">
        <v>0.4791666666666667</v>
      </c>
      <c r="D28" s="165">
        <f>C28-B28</f>
        <v>0.0625</v>
      </c>
      <c r="E28" s="164">
        <v>0.6652777777777777</v>
      </c>
      <c r="F28" s="145">
        <v>0.8333333333333334</v>
      </c>
      <c r="G28" s="165">
        <f>F28-E28</f>
        <v>0.1680555556</v>
      </c>
      <c r="H28" s="140"/>
      <c r="I28" s="141"/>
      <c r="J28" s="70"/>
      <c r="K28" s="166">
        <f>D28+G28</f>
        <v>0.2305555556</v>
      </c>
      <c r="L28" s="88"/>
      <c r="M28" s="44"/>
      <c r="N28" s="44" t="s">
        <v>608</v>
      </c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0.629849537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1030</v>
      </c>
      <c r="C31" s="26" t="s">
        <v>1031</v>
      </c>
      <c r="D31" s="30" t="s">
        <v>1032</v>
      </c>
      <c r="E31" s="23" t="s">
        <v>1033</v>
      </c>
      <c r="F31" s="26" t="s">
        <v>1034</v>
      </c>
      <c r="G31" s="33" t="s">
        <v>1035</v>
      </c>
      <c r="H31" s="23" t="s">
        <v>1036</v>
      </c>
      <c r="I31" s="26" t="s">
        <v>1038</v>
      </c>
      <c r="J31" s="33" t="s">
        <v>1039</v>
      </c>
      <c r="K31" s="132" t="s">
        <v>1040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1041</v>
      </c>
      <c r="C32" s="134" t="s">
        <v>1042</v>
      </c>
      <c r="D32" s="135" t="s">
        <v>1043</v>
      </c>
      <c r="E32" s="133" t="s">
        <v>1044</v>
      </c>
      <c r="F32" s="134" t="s">
        <v>1045</v>
      </c>
      <c r="G32" s="136" t="s">
        <v>1046</v>
      </c>
      <c r="H32" s="133"/>
      <c r="I32" s="134"/>
      <c r="J32" s="136"/>
      <c r="K32" s="137" t="s">
        <v>1048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661</v>
      </c>
      <c r="C33" s="134" t="s">
        <v>1052</v>
      </c>
      <c r="D33" s="135" t="s">
        <v>1053</v>
      </c>
      <c r="E33" s="133" t="s">
        <v>1054</v>
      </c>
      <c r="F33" s="134" t="s">
        <v>1055</v>
      </c>
      <c r="G33" s="136" t="s">
        <v>1056</v>
      </c>
      <c r="H33" s="133"/>
      <c r="I33" s="134"/>
      <c r="J33" s="136"/>
      <c r="K33" s="137" t="s">
        <v>1057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 t="s">
        <v>1058</v>
      </c>
      <c r="C34" s="138"/>
      <c r="D34" s="139" t="s">
        <v>137</v>
      </c>
      <c r="E34" s="133"/>
      <c r="F34" s="138"/>
      <c r="G34" s="136"/>
      <c r="H34" s="133"/>
      <c r="I34" s="138"/>
      <c r="J34" s="136"/>
      <c r="K34" s="137" t="s">
        <v>137</v>
      </c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0.4972453704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130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7">
        <f>SUM(P:P)</f>
        <v>9.067997685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44"/>
      <c r="R2" s="44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/>
      <c r="C3" s="26"/>
      <c r="D3" s="30"/>
      <c r="E3" s="23"/>
      <c r="F3" s="26"/>
      <c r="G3" s="33"/>
      <c r="H3" s="23"/>
      <c r="I3" s="26"/>
      <c r="J3" s="33"/>
      <c r="K3" s="132"/>
      <c r="L3" s="108"/>
      <c r="M3" s="39"/>
      <c r="N3" s="39"/>
      <c r="O3" s="39"/>
      <c r="P3" s="127">
        <v>6.304988425925926</v>
      </c>
      <c r="Q3" s="44"/>
      <c r="R3" s="44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919</v>
      </c>
      <c r="C4" s="134" t="s">
        <v>921</v>
      </c>
      <c r="D4" s="135" t="s">
        <v>922</v>
      </c>
      <c r="E4" s="133"/>
      <c r="F4" s="134"/>
      <c r="G4" s="136"/>
      <c r="H4" s="133"/>
      <c r="I4" s="134"/>
      <c r="J4" s="136"/>
      <c r="K4" s="137" t="s">
        <v>922</v>
      </c>
      <c r="L4" s="68"/>
      <c r="M4" s="44"/>
      <c r="N4" s="44"/>
      <c r="O4" s="44"/>
      <c r="P4" s="70"/>
      <c r="Q4" s="44"/>
      <c r="R4" s="44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928</v>
      </c>
      <c r="C5" s="134" t="s">
        <v>421</v>
      </c>
      <c r="D5" s="135" t="s">
        <v>930</v>
      </c>
      <c r="E5" s="133" t="s">
        <v>931</v>
      </c>
      <c r="F5" s="134" t="s">
        <v>921</v>
      </c>
      <c r="G5" s="136" t="s">
        <v>934</v>
      </c>
      <c r="H5" s="133"/>
      <c r="I5" s="134"/>
      <c r="J5" s="136"/>
      <c r="K5" s="137" t="s">
        <v>940</v>
      </c>
      <c r="L5" s="68"/>
      <c r="M5" s="44"/>
      <c r="N5" s="44"/>
      <c r="O5" s="44"/>
      <c r="P5" s="70"/>
      <c r="Q5" s="44"/>
      <c r="R5" s="44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943</v>
      </c>
      <c r="C6" s="138" t="s">
        <v>426</v>
      </c>
      <c r="D6" s="139" t="s">
        <v>944</v>
      </c>
      <c r="E6" s="133" t="s">
        <v>945</v>
      </c>
      <c r="F6" s="138" t="s">
        <v>805</v>
      </c>
      <c r="G6" s="136" t="s">
        <v>934</v>
      </c>
      <c r="H6" s="133"/>
      <c r="I6" s="138"/>
      <c r="J6" s="136"/>
      <c r="K6" s="137" t="s">
        <v>946</v>
      </c>
      <c r="L6" s="68"/>
      <c r="M6" s="44"/>
      <c r="N6" s="44"/>
      <c r="O6" s="44"/>
      <c r="P6" s="70"/>
      <c r="Q6" s="44"/>
      <c r="R6" s="44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947</v>
      </c>
      <c r="C7" s="141" t="s">
        <v>948</v>
      </c>
      <c r="D7" s="70" t="s">
        <v>441</v>
      </c>
      <c r="E7" s="140" t="s">
        <v>931</v>
      </c>
      <c r="F7" s="141" t="s">
        <v>949</v>
      </c>
      <c r="G7" s="70" t="s">
        <v>832</v>
      </c>
      <c r="H7" s="140"/>
      <c r="I7" s="141"/>
      <c r="J7" s="70"/>
      <c r="K7" s="142" t="s">
        <v>950</v>
      </c>
      <c r="L7" s="88"/>
      <c r="M7" s="44"/>
      <c r="N7" s="44"/>
      <c r="O7" s="44"/>
      <c r="P7" s="70"/>
      <c r="Q7" s="44"/>
      <c r="R7" s="44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44"/>
      <c r="R8" s="44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5"/>
      <c r="L9" s="93"/>
      <c r="M9" s="94"/>
      <c r="N9" s="94"/>
      <c r="O9" s="94"/>
      <c r="P9" s="96">
        <f>SUMPRODUCT(VALUE(K3:K7))-(SUM(L3:L7))</f>
        <v>0.8104166667</v>
      </c>
      <c r="Q9" s="44"/>
      <c r="R9" s="44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953</v>
      </c>
      <c r="C10" s="26" t="s">
        <v>954</v>
      </c>
      <c r="D10" s="49">
        <f t="shared" ref="D10:D14" si="1">C10-B10</f>
        <v>0.1686342593</v>
      </c>
      <c r="E10" s="23"/>
      <c r="F10" s="26"/>
      <c r="G10" s="33"/>
      <c r="H10" s="23"/>
      <c r="I10" s="26"/>
      <c r="J10" s="157"/>
      <c r="K10" s="158">
        <f t="shared" ref="K10:K14" si="2">D10+G10+J10</f>
        <v>0.1686342593</v>
      </c>
      <c r="L10" s="159"/>
      <c r="M10" s="39"/>
      <c r="N10" s="39"/>
      <c r="O10" s="39"/>
      <c r="P10" s="152"/>
      <c r="Q10" s="44"/>
      <c r="R10" s="44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968</v>
      </c>
      <c r="C11" s="134" t="s">
        <v>954</v>
      </c>
      <c r="D11" s="61">
        <f t="shared" si="1"/>
        <v>0.1664814815</v>
      </c>
      <c r="E11" s="133"/>
      <c r="F11" s="134"/>
      <c r="G11" s="136"/>
      <c r="H11" s="133"/>
      <c r="I11" s="134"/>
      <c r="J11" s="160"/>
      <c r="K11" s="161">
        <f t="shared" si="2"/>
        <v>0.1664814815</v>
      </c>
      <c r="L11" s="162"/>
      <c r="M11" s="44"/>
      <c r="N11" s="44"/>
      <c r="O11" s="44"/>
      <c r="P11" s="70"/>
      <c r="Q11" s="44"/>
      <c r="R11" s="44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974</v>
      </c>
      <c r="C12" s="134" t="s">
        <v>975</v>
      </c>
      <c r="D12" s="61">
        <f t="shared" si="1"/>
        <v>0.1660416667</v>
      </c>
      <c r="E12" s="133"/>
      <c r="F12" s="134"/>
      <c r="G12" s="136"/>
      <c r="H12" s="133"/>
      <c r="I12" s="134"/>
      <c r="J12" s="160"/>
      <c r="K12" s="161">
        <f t="shared" si="2"/>
        <v>0.1660416667</v>
      </c>
      <c r="L12" s="162"/>
      <c r="M12" s="44"/>
      <c r="N12" s="44"/>
      <c r="O12" s="44"/>
      <c r="P12" s="70"/>
      <c r="Q12" s="44"/>
      <c r="R12" s="44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974</v>
      </c>
      <c r="C13" s="134" t="s">
        <v>975</v>
      </c>
      <c r="D13" s="61">
        <f t="shared" si="1"/>
        <v>0.1660416667</v>
      </c>
      <c r="E13" s="133"/>
      <c r="F13" s="138"/>
      <c r="G13" s="136"/>
      <c r="H13" s="133"/>
      <c r="I13" s="138"/>
      <c r="J13" s="160"/>
      <c r="K13" s="161">
        <f t="shared" si="2"/>
        <v>0.1660416667</v>
      </c>
      <c r="L13" s="162"/>
      <c r="M13" s="44"/>
      <c r="N13" s="44"/>
      <c r="O13" s="44"/>
      <c r="P13" s="70"/>
      <c r="Q13" s="44"/>
      <c r="R13" s="44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979</v>
      </c>
      <c r="C14" s="141" t="s">
        <v>980</v>
      </c>
      <c r="D14" s="78">
        <f t="shared" si="1"/>
        <v>0.1655439815</v>
      </c>
      <c r="E14" s="140"/>
      <c r="F14" s="141"/>
      <c r="G14" s="70"/>
      <c r="H14" s="140"/>
      <c r="I14" s="141"/>
      <c r="J14" s="44"/>
      <c r="K14" s="161">
        <f t="shared" si="2"/>
        <v>0.1655439815</v>
      </c>
      <c r="L14" s="44"/>
      <c r="M14" s="44"/>
      <c r="N14" s="44"/>
      <c r="O14" s="44"/>
      <c r="P14" s="70"/>
      <c r="Q14" s="44"/>
      <c r="R14" s="44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81"/>
      <c r="K15" s="163"/>
      <c r="L15" s="44"/>
      <c r="M15" s="44"/>
      <c r="N15" s="44"/>
      <c r="O15" s="44"/>
      <c r="P15" s="70"/>
      <c r="Q15" s="44"/>
      <c r="R15" s="44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0.8327430556</v>
      </c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997</v>
      </c>
      <c r="C17" s="26" t="s">
        <v>998</v>
      </c>
      <c r="D17" s="30" t="s">
        <v>999</v>
      </c>
      <c r="E17" s="23"/>
      <c r="F17" s="26"/>
      <c r="G17" s="33"/>
      <c r="H17" s="23"/>
      <c r="I17" s="26"/>
      <c r="J17" s="33"/>
      <c r="K17" s="132" t="s">
        <v>999</v>
      </c>
      <c r="L17" s="108"/>
      <c r="M17" s="39"/>
      <c r="N17" s="39"/>
      <c r="O17" s="39"/>
      <c r="P17" s="152"/>
      <c r="Q17" s="44"/>
      <c r="R17" s="44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1000</v>
      </c>
      <c r="C18" s="134" t="s">
        <v>1001</v>
      </c>
      <c r="D18" s="135" t="s">
        <v>1002</v>
      </c>
      <c r="E18" s="133"/>
      <c r="F18" s="134"/>
      <c r="G18" s="136"/>
      <c r="H18" s="133"/>
      <c r="I18" s="134"/>
      <c r="J18" s="136"/>
      <c r="K18" s="137" t="s">
        <v>1002</v>
      </c>
      <c r="L18" s="68"/>
      <c r="M18" s="44"/>
      <c r="N18" s="44"/>
      <c r="O18" s="44"/>
      <c r="P18" s="70"/>
      <c r="Q18" s="44"/>
      <c r="R18" s="44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/>
      <c r="C19" s="134"/>
      <c r="D19" s="135"/>
      <c r="E19" s="133"/>
      <c r="F19" s="134"/>
      <c r="G19" s="136"/>
      <c r="H19" s="133"/>
      <c r="I19" s="134"/>
      <c r="J19" s="136"/>
      <c r="K19" s="137"/>
      <c r="L19" s="68"/>
      <c r="M19" s="44"/>
      <c r="N19" s="44"/>
      <c r="O19" s="44"/>
      <c r="P19" s="70"/>
      <c r="Q19" s="44"/>
      <c r="R19" s="44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/>
      <c r="C20" s="138"/>
      <c r="D20" s="139"/>
      <c r="E20" s="133"/>
      <c r="F20" s="138"/>
      <c r="G20" s="136"/>
      <c r="H20" s="133"/>
      <c r="I20" s="138"/>
      <c r="J20" s="136"/>
      <c r="K20" s="137"/>
      <c r="L20" s="68"/>
      <c r="M20" s="44"/>
      <c r="N20" s="44"/>
      <c r="O20" s="44"/>
      <c r="P20" s="70"/>
      <c r="Q20" s="44"/>
      <c r="R20" s="44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1007</v>
      </c>
      <c r="C21" s="141" t="s">
        <v>1009</v>
      </c>
      <c r="D21" s="70" t="s">
        <v>1011</v>
      </c>
      <c r="E21" s="140"/>
      <c r="F21" s="141"/>
      <c r="G21" s="70"/>
      <c r="H21" s="140"/>
      <c r="I21" s="141"/>
      <c r="J21" s="70"/>
      <c r="K21" s="142" t="s">
        <v>1011</v>
      </c>
      <c r="L21" s="88"/>
      <c r="M21" s="44"/>
      <c r="N21" s="44"/>
      <c r="O21" s="44"/>
      <c r="P21" s="70"/>
      <c r="Q21" s="44"/>
      <c r="R21" s="44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44"/>
      <c r="R22" s="44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0.5049421296</v>
      </c>
      <c r="Q23" s="44"/>
      <c r="R23" s="44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44"/>
      <c r="R24" s="44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1020</v>
      </c>
      <c r="C25" s="134" t="s">
        <v>1021</v>
      </c>
      <c r="D25" s="135" t="s">
        <v>1022</v>
      </c>
      <c r="E25" s="133"/>
      <c r="F25" s="134"/>
      <c r="G25" s="136"/>
      <c r="H25" s="133"/>
      <c r="I25" s="134"/>
      <c r="J25" s="136"/>
      <c r="K25" s="137" t="s">
        <v>1022</v>
      </c>
      <c r="L25" s="68"/>
      <c r="M25" s="44"/>
      <c r="N25" s="44"/>
      <c r="O25" s="44"/>
      <c r="P25" s="65"/>
      <c r="Q25" s="44"/>
      <c r="R25" s="44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/>
      <c r="C26" s="134"/>
      <c r="D26" s="135"/>
      <c r="E26" s="133"/>
      <c r="F26" s="134"/>
      <c r="G26" s="136"/>
      <c r="H26" s="133"/>
      <c r="I26" s="134"/>
      <c r="J26" s="136"/>
      <c r="K26" s="137"/>
      <c r="L26" s="68"/>
      <c r="M26" s="44"/>
      <c r="N26" s="44"/>
      <c r="O26" s="44"/>
      <c r="P26" s="65"/>
      <c r="Q26" s="44"/>
      <c r="R26" s="44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1023</v>
      </c>
      <c r="C27" s="138" t="s">
        <v>1024</v>
      </c>
      <c r="D27" s="139" t="s">
        <v>1025</v>
      </c>
      <c r="E27" s="133"/>
      <c r="F27" s="138"/>
      <c r="G27" s="136"/>
      <c r="H27" s="133"/>
      <c r="I27" s="138"/>
      <c r="J27" s="136"/>
      <c r="K27" s="137" t="s">
        <v>1025</v>
      </c>
      <c r="L27" s="68"/>
      <c r="M27" s="44"/>
      <c r="N27" s="44"/>
      <c r="O27" s="44"/>
      <c r="P27" s="65"/>
      <c r="Q27" s="44"/>
      <c r="R27" s="44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1026</v>
      </c>
      <c r="C28" s="141" t="s">
        <v>1027</v>
      </c>
      <c r="D28" s="70" t="s">
        <v>1028</v>
      </c>
      <c r="E28" s="140"/>
      <c r="F28" s="141"/>
      <c r="G28" s="70"/>
      <c r="H28" s="140"/>
      <c r="I28" s="141"/>
      <c r="J28" s="70"/>
      <c r="K28" s="142" t="s">
        <v>1028</v>
      </c>
      <c r="L28" s="88"/>
      <c r="M28" s="44"/>
      <c r="N28" s="44"/>
      <c r="O28" s="44"/>
      <c r="P28" s="65"/>
      <c r="Q28" s="44"/>
      <c r="R28" s="44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44"/>
      <c r="R29" s="44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0.5154050926</v>
      </c>
      <c r="Q30" s="44"/>
      <c r="R30" s="44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1029</v>
      </c>
      <c r="C31" s="26"/>
      <c r="D31" s="30" t="s">
        <v>137</v>
      </c>
      <c r="E31" s="23"/>
      <c r="F31" s="26"/>
      <c r="G31" s="33"/>
      <c r="H31" s="23"/>
      <c r="I31" s="26"/>
      <c r="J31" s="33"/>
      <c r="K31" s="132" t="s">
        <v>137</v>
      </c>
      <c r="L31" s="108"/>
      <c r="M31" s="39"/>
      <c r="N31" s="39"/>
      <c r="O31" s="38"/>
      <c r="P31" s="98"/>
      <c r="Q31" s="44"/>
      <c r="R31" s="44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1037</v>
      </c>
      <c r="C32" s="134"/>
      <c r="D32" s="135" t="s">
        <v>137</v>
      </c>
      <c r="E32" s="133"/>
      <c r="F32" s="134"/>
      <c r="G32" s="136"/>
      <c r="H32" s="133"/>
      <c r="I32" s="134"/>
      <c r="J32" s="136"/>
      <c r="K32" s="137" t="s">
        <v>137</v>
      </c>
      <c r="L32" s="68"/>
      <c r="M32" s="44"/>
      <c r="N32" s="44"/>
      <c r="O32" s="44"/>
      <c r="P32" s="65"/>
      <c r="Q32" s="44"/>
      <c r="R32" s="44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1047</v>
      </c>
      <c r="C33" s="134" t="s">
        <v>1049</v>
      </c>
      <c r="D33" s="135" t="s">
        <v>1050</v>
      </c>
      <c r="E33" s="133" t="s">
        <v>1051</v>
      </c>
      <c r="F33" s="134"/>
      <c r="G33" s="136" t="s">
        <v>137</v>
      </c>
      <c r="H33" s="133"/>
      <c r="I33" s="134"/>
      <c r="J33" s="136"/>
      <c r="K33" s="137" t="s">
        <v>1050</v>
      </c>
      <c r="L33" s="68"/>
      <c r="M33" s="44"/>
      <c r="N33" s="44"/>
      <c r="O33" s="44"/>
      <c r="P33" s="65"/>
      <c r="Q33" s="44"/>
      <c r="R33" s="44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65"/>
      <c r="Q34" s="44"/>
      <c r="R34" s="44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44"/>
      <c r="R35" s="44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44"/>
      <c r="R36" s="44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0.09950231481</v>
      </c>
      <c r="Q37" s="44"/>
      <c r="R37" s="44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44"/>
      <c r="R38" s="44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44"/>
      <c r="R39" s="44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44"/>
      <c r="R40" s="44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44"/>
      <c r="R41" s="44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44"/>
      <c r="R42" s="44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44"/>
      <c r="R43" s="44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44"/>
      <c r="R44" s="44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44"/>
      <c r="R45" s="44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44"/>
      <c r="R46" s="44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44"/>
      <c r="R47" s="44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44"/>
      <c r="R48" s="44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44"/>
      <c r="R49" s="4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44"/>
      <c r="R50" s="4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44"/>
      <c r="R51" s="44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44"/>
      <c r="R52" s="44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44"/>
      <c r="R53" s="44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44"/>
      <c r="R54" s="44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44"/>
      <c r="R55" s="44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44"/>
      <c r="R56" s="44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44"/>
      <c r="R57" s="44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44"/>
      <c r="R58" s="44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44"/>
      <c r="R59" s="44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44"/>
      <c r="R60" s="44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44"/>
      <c r="R61" s="44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44"/>
      <c r="R62" s="44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44"/>
      <c r="R63" s="44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44"/>
      <c r="R64" s="44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44"/>
      <c r="R65" s="44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44"/>
      <c r="R66" s="44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44"/>
      <c r="R67" s="44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44"/>
      <c r="R68" s="44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44"/>
      <c r="R69" s="44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44"/>
      <c r="R70" s="44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44"/>
      <c r="R71" s="44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44"/>
      <c r="R72" s="44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44"/>
      <c r="R73" s="44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44"/>
      <c r="R74" s="44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44"/>
      <c r="R75" s="44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44"/>
      <c r="R76" s="44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44"/>
      <c r="R77" s="44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44"/>
      <c r="R78" s="44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44"/>
      <c r="R79" s="44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44"/>
      <c r="R80" s="44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44"/>
      <c r="R81" s="44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44"/>
      <c r="R82" s="44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44"/>
      <c r="R83" s="44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44"/>
      <c r="R84" s="44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44"/>
      <c r="R85" s="44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44"/>
      <c r="R86" s="44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44"/>
      <c r="R87" s="44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44"/>
      <c r="R88" s="44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44"/>
      <c r="R89" s="44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44"/>
      <c r="R90" s="44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44"/>
      <c r="R91" s="44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44"/>
      <c r="R92" s="44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44"/>
      <c r="R93" s="44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44"/>
      <c r="R94" s="44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44"/>
      <c r="R95" s="44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44"/>
      <c r="R96" s="44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44"/>
      <c r="R97" s="44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44"/>
      <c r="R98" s="44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44"/>
      <c r="R99" s="44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44"/>
      <c r="R100" s="44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44"/>
      <c r="R101" s="44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44"/>
      <c r="R102" s="44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44"/>
      <c r="R103" s="44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44"/>
      <c r="R104" s="44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44"/>
      <c r="R105" s="44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44"/>
      <c r="R106" s="44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44"/>
      <c r="R107" s="44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44"/>
      <c r="R108" s="44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44"/>
      <c r="R109" s="44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44"/>
      <c r="R110" s="44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44"/>
      <c r="R111" s="44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44"/>
      <c r="R112" s="44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44"/>
      <c r="R113" s="44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44"/>
      <c r="R114" s="44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44"/>
      <c r="R115" s="44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44"/>
      <c r="R116" s="44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44"/>
      <c r="R117" s="44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44"/>
      <c r="R118" s="44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44"/>
      <c r="R119" s="44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44"/>
      <c r="R120" s="44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44"/>
      <c r="R121" s="44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44"/>
      <c r="R122" s="44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44"/>
      <c r="R123" s="44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44"/>
      <c r="R124" s="44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44"/>
      <c r="R125" s="44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44"/>
      <c r="R126" s="44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44"/>
      <c r="R127" s="44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44"/>
      <c r="R128" s="44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44"/>
      <c r="R129" s="44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44"/>
      <c r="R130" s="44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44"/>
      <c r="R131" s="44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44"/>
      <c r="R132" s="44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44"/>
      <c r="R133" s="44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44"/>
      <c r="R134" s="44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44"/>
      <c r="R135" s="44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44"/>
      <c r="R136" s="44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44"/>
      <c r="R137" s="44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44"/>
      <c r="R138" s="44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44"/>
      <c r="R139" s="44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44"/>
      <c r="R140" s="44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44"/>
      <c r="R141" s="44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44"/>
      <c r="R142" s="44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44"/>
      <c r="R143" s="44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44"/>
      <c r="R144" s="44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44"/>
      <c r="R145" s="44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44"/>
      <c r="R146" s="44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44"/>
      <c r="R147" s="44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44"/>
      <c r="R148" s="44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44"/>
      <c r="R149" s="44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44"/>
      <c r="R150" s="44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44"/>
      <c r="R151" s="44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44"/>
      <c r="R152" s="44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44"/>
      <c r="R153" s="44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44"/>
      <c r="R154" s="44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44"/>
      <c r="R155" s="44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44"/>
      <c r="R156" s="44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44"/>
      <c r="R157" s="44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44"/>
      <c r="R158" s="44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44"/>
      <c r="R159" s="44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44"/>
      <c r="R160" s="44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44"/>
      <c r="R161" s="44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44"/>
      <c r="R162" s="44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44"/>
      <c r="R163" s="44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44"/>
      <c r="R164" s="44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44"/>
      <c r="R165" s="44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44"/>
      <c r="R166" s="44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44"/>
      <c r="R167" s="44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44"/>
      <c r="R168" s="44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44"/>
      <c r="R169" s="44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44"/>
      <c r="R170" s="44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44"/>
      <c r="R171" s="44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44"/>
      <c r="R172" s="44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44"/>
      <c r="R173" s="44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44"/>
      <c r="R174" s="44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44"/>
      <c r="R175" s="44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44"/>
      <c r="R176" s="44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44"/>
      <c r="R177" s="44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44"/>
      <c r="R178" s="44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44"/>
      <c r="R179" s="44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44"/>
      <c r="R180" s="44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44"/>
      <c r="R181" s="44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44"/>
      <c r="R182" s="44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44"/>
      <c r="R183" s="44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44"/>
      <c r="R184" s="44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44"/>
      <c r="R185" s="44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44"/>
      <c r="R186" s="44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44"/>
      <c r="R187" s="44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44"/>
      <c r="R188" s="44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44"/>
      <c r="R189" s="44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44"/>
      <c r="R190" s="44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44"/>
      <c r="R191" s="44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44"/>
      <c r="R192" s="44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44"/>
      <c r="R193" s="44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44"/>
      <c r="R194" s="44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44"/>
      <c r="R195" s="44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44"/>
      <c r="R196" s="44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44"/>
      <c r="R197" s="44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44"/>
      <c r="R198" s="44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44"/>
      <c r="R199" s="44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44"/>
      <c r="R200" s="44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44"/>
      <c r="R201" s="44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44"/>
      <c r="R202" s="44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44"/>
      <c r="R203" s="44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44"/>
      <c r="R204" s="44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44"/>
      <c r="R205" s="44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44"/>
      <c r="R206" s="44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44"/>
      <c r="R207" s="44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44"/>
      <c r="R208" s="44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44"/>
      <c r="R209" s="44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44"/>
      <c r="R210" s="44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44"/>
      <c r="R211" s="44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44"/>
      <c r="R212" s="44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44"/>
      <c r="R213" s="44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44"/>
      <c r="R214" s="44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44"/>
      <c r="R215" s="44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44"/>
      <c r="R216" s="44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44"/>
      <c r="R217" s="44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44"/>
      <c r="R218" s="44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44"/>
      <c r="R219" s="44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44"/>
      <c r="R220" s="44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44"/>
      <c r="R221" s="44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44"/>
      <c r="R222" s="44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44"/>
      <c r="R223" s="44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44"/>
      <c r="R224" s="44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44"/>
      <c r="R225" s="44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44"/>
      <c r="R226" s="44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44"/>
      <c r="R227" s="44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44"/>
      <c r="R228" s="44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44"/>
      <c r="R229" s="44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44"/>
      <c r="R230" s="44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44"/>
      <c r="R231" s="44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44"/>
      <c r="R232" s="44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44"/>
      <c r="R233" s="44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44"/>
      <c r="R234" s="44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44"/>
      <c r="R235" s="44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44"/>
      <c r="R236" s="44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44"/>
      <c r="R237" s="44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44"/>
      <c r="R238" s="44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44"/>
      <c r="R239" s="44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44"/>
      <c r="R240" s="44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44"/>
      <c r="R241" s="44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44"/>
      <c r="R242" s="44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44"/>
      <c r="R243" s="44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44"/>
      <c r="R244" s="44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44"/>
      <c r="R245" s="44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44"/>
      <c r="R246" s="44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44"/>
      <c r="R247" s="44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44"/>
      <c r="R248" s="44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44"/>
      <c r="R249" s="44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44"/>
      <c r="R250" s="44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44"/>
      <c r="R251" s="44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44"/>
      <c r="R252" s="44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44"/>
      <c r="R253" s="44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44"/>
      <c r="R254" s="44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44"/>
      <c r="R255" s="44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44"/>
      <c r="R256" s="44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44"/>
      <c r="R257" s="44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44"/>
      <c r="R258" s="44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44"/>
      <c r="R259" s="44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44"/>
      <c r="R260" s="44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44"/>
      <c r="R261" s="44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44"/>
      <c r="R262" s="44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44"/>
      <c r="R263" s="44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44"/>
      <c r="R264" s="44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44"/>
      <c r="R265" s="44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44"/>
      <c r="R266" s="44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44"/>
      <c r="R267" s="44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44"/>
      <c r="R268" s="44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44"/>
      <c r="R269" s="44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44"/>
      <c r="R270" s="44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44"/>
      <c r="R271" s="44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44"/>
      <c r="R272" s="44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44"/>
      <c r="R273" s="44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44"/>
      <c r="R274" s="44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44"/>
      <c r="R275" s="44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44"/>
      <c r="R276" s="44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44"/>
      <c r="R277" s="44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44"/>
      <c r="R278" s="44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44"/>
      <c r="R279" s="44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44"/>
      <c r="R280" s="44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44"/>
      <c r="R281" s="44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44"/>
      <c r="R282" s="44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44"/>
      <c r="R283" s="44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44"/>
      <c r="R284" s="44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44"/>
      <c r="R285" s="44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44"/>
      <c r="R286" s="44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44"/>
      <c r="R287" s="44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44"/>
      <c r="R288" s="44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44"/>
      <c r="R289" s="44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44"/>
      <c r="R290" s="44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44"/>
      <c r="R291" s="44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44"/>
      <c r="R292" s="44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44"/>
      <c r="R293" s="44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44"/>
      <c r="R294" s="44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44"/>
      <c r="R295" s="44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44"/>
      <c r="R296" s="44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44"/>
      <c r="R297" s="44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44"/>
      <c r="R298" s="44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44"/>
      <c r="R299" s="44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44"/>
      <c r="R300" s="44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44"/>
      <c r="R301" s="44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44"/>
      <c r="R302" s="44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44"/>
      <c r="R303" s="44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143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6">
        <f>SUM(P:P)</f>
        <v>15.21813657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 t="s">
        <v>1059</v>
      </c>
      <c r="C3" s="26" t="s">
        <v>948</v>
      </c>
      <c r="D3" s="30" t="s">
        <v>524</v>
      </c>
      <c r="E3" s="23"/>
      <c r="F3" s="26"/>
      <c r="G3" s="33"/>
      <c r="H3" s="23"/>
      <c r="I3" s="26"/>
      <c r="J3" s="33"/>
      <c r="K3" s="132" t="s">
        <v>524</v>
      </c>
      <c r="L3" s="53">
        <v>0.01597222222222222</v>
      </c>
      <c r="M3" s="39"/>
      <c r="N3" s="39"/>
      <c r="O3" s="39"/>
      <c r="P3" s="127">
        <v>11.38952546296296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 t="s">
        <v>701</v>
      </c>
      <c r="C4" s="134" t="s">
        <v>1060</v>
      </c>
      <c r="D4" s="135" t="s">
        <v>1061</v>
      </c>
      <c r="E4" s="133"/>
      <c r="F4" s="134"/>
      <c r="G4" s="136"/>
      <c r="H4" s="133"/>
      <c r="I4" s="134"/>
      <c r="J4" s="136"/>
      <c r="K4" s="137" t="s">
        <v>1061</v>
      </c>
      <c r="L4" s="66">
        <v>0.001388888888888889</v>
      </c>
      <c r="M4" s="44"/>
      <c r="N4" s="44"/>
      <c r="O4" s="44"/>
      <c r="P4" s="70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 t="s">
        <v>1062</v>
      </c>
      <c r="C5" s="134" t="s">
        <v>1063</v>
      </c>
      <c r="D5" s="135" t="s">
        <v>1064</v>
      </c>
      <c r="E5" s="133"/>
      <c r="F5" s="134"/>
      <c r="G5" s="136"/>
      <c r="H5" s="133"/>
      <c r="I5" s="134"/>
      <c r="J5" s="136"/>
      <c r="K5" s="137" t="s">
        <v>1064</v>
      </c>
      <c r="L5" s="68"/>
      <c r="M5" s="44"/>
      <c r="N5" s="44"/>
      <c r="O5" s="44"/>
      <c r="P5" s="70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 t="s">
        <v>1065</v>
      </c>
      <c r="C6" s="138" t="s">
        <v>1066</v>
      </c>
      <c r="D6" s="139" t="s">
        <v>707</v>
      </c>
      <c r="E6" s="133"/>
      <c r="F6" s="138"/>
      <c r="G6" s="136"/>
      <c r="H6" s="133"/>
      <c r="I6" s="138"/>
      <c r="J6" s="136"/>
      <c r="K6" s="137" t="s">
        <v>707</v>
      </c>
      <c r="L6" s="68"/>
      <c r="M6" s="44"/>
      <c r="N6" s="44"/>
      <c r="O6" s="44"/>
      <c r="P6" s="70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 t="s">
        <v>1067</v>
      </c>
      <c r="C7" s="141" t="s">
        <v>1068</v>
      </c>
      <c r="D7" s="70" t="s">
        <v>1069</v>
      </c>
      <c r="E7" s="140"/>
      <c r="F7" s="141"/>
      <c r="G7" s="70"/>
      <c r="H7" s="140"/>
      <c r="I7" s="141"/>
      <c r="J7" s="70"/>
      <c r="K7" s="142" t="s">
        <v>1069</v>
      </c>
      <c r="L7" s="82">
        <v>0.006944444444444444</v>
      </c>
      <c r="M7" s="44"/>
      <c r="N7" s="44"/>
      <c r="O7" s="44"/>
      <c r="P7" s="70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0.8694444444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 t="s">
        <v>437</v>
      </c>
      <c r="C10" s="26" t="s">
        <v>1070</v>
      </c>
      <c r="D10" s="30" t="s">
        <v>1071</v>
      </c>
      <c r="E10" s="23"/>
      <c r="F10" s="26"/>
      <c r="G10" s="33"/>
      <c r="H10" s="23"/>
      <c r="I10" s="26"/>
      <c r="J10" s="33"/>
      <c r="K10" s="132" t="s">
        <v>1071</v>
      </c>
      <c r="L10" s="53">
        <v>0.01282407407407407</v>
      </c>
      <c r="M10" s="39"/>
      <c r="N10" s="39"/>
      <c r="O10" s="39"/>
      <c r="P10" s="15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1072</v>
      </c>
      <c r="C11" s="134" t="s">
        <v>1073</v>
      </c>
      <c r="D11" s="135" t="s">
        <v>1074</v>
      </c>
      <c r="E11" s="133"/>
      <c r="F11" s="134"/>
      <c r="G11" s="136"/>
      <c r="H11" s="133"/>
      <c r="I11" s="134"/>
      <c r="J11" s="136"/>
      <c r="K11" s="137" t="s">
        <v>1074</v>
      </c>
      <c r="L11" s="66">
        <v>0.0184837962962963</v>
      </c>
      <c r="M11" s="44"/>
      <c r="N11" s="44"/>
      <c r="O11" s="44"/>
      <c r="P11" s="7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1075</v>
      </c>
      <c r="C12" s="134" t="s">
        <v>1076</v>
      </c>
      <c r="D12" s="135" t="s">
        <v>1077</v>
      </c>
      <c r="E12" s="133"/>
      <c r="F12" s="134"/>
      <c r="G12" s="136"/>
      <c r="H12" s="133"/>
      <c r="I12" s="134"/>
      <c r="J12" s="136"/>
      <c r="K12" s="137" t="s">
        <v>1077</v>
      </c>
      <c r="L12" s="66">
        <v>0.0250462962962963</v>
      </c>
      <c r="M12" s="44"/>
      <c r="N12" s="44"/>
      <c r="O12" s="44"/>
      <c r="P12" s="7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1078</v>
      </c>
      <c r="C13" s="138" t="s">
        <v>1079</v>
      </c>
      <c r="D13" s="139" t="s">
        <v>1080</v>
      </c>
      <c r="E13" s="133"/>
      <c r="F13" s="138"/>
      <c r="G13" s="136"/>
      <c r="H13" s="133"/>
      <c r="I13" s="138"/>
      <c r="J13" s="136"/>
      <c r="K13" s="137" t="s">
        <v>1080</v>
      </c>
      <c r="L13" s="66">
        <v>0.002060185185185185</v>
      </c>
      <c r="M13" s="44"/>
      <c r="N13" s="44"/>
      <c r="O13" s="44"/>
      <c r="P13" s="7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1081</v>
      </c>
      <c r="C14" s="141" t="s">
        <v>1082</v>
      </c>
      <c r="D14" s="70" t="s">
        <v>1083</v>
      </c>
      <c r="E14" s="140"/>
      <c r="F14" s="141"/>
      <c r="G14" s="70"/>
      <c r="H14" s="140"/>
      <c r="I14" s="141"/>
      <c r="J14" s="70"/>
      <c r="K14" s="142" t="s">
        <v>1083</v>
      </c>
      <c r="L14" s="82">
        <v>0.02454861111111111</v>
      </c>
      <c r="M14" s="44"/>
      <c r="N14" s="44"/>
      <c r="O14" s="44"/>
      <c r="P14" s="7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0.8333333333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1084</v>
      </c>
      <c r="C17" s="26" t="s">
        <v>1085</v>
      </c>
      <c r="D17" s="30" t="s">
        <v>1086</v>
      </c>
      <c r="E17" s="23"/>
      <c r="F17" s="26"/>
      <c r="G17" s="33"/>
      <c r="H17" s="23"/>
      <c r="I17" s="26"/>
      <c r="J17" s="33"/>
      <c r="K17" s="132" t="s">
        <v>1086</v>
      </c>
      <c r="L17" s="53">
        <v>0.02570601851851852</v>
      </c>
      <c r="M17" s="39"/>
      <c r="N17" s="39" t="s">
        <v>126</v>
      </c>
      <c r="O17" s="39"/>
      <c r="P17" s="15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1087</v>
      </c>
      <c r="C18" s="134" t="s">
        <v>1088</v>
      </c>
      <c r="D18" s="135" t="s">
        <v>1089</v>
      </c>
      <c r="E18" s="133"/>
      <c r="F18" s="134"/>
      <c r="G18" s="136"/>
      <c r="H18" s="133"/>
      <c r="I18" s="134"/>
      <c r="J18" s="136"/>
      <c r="K18" s="137" t="s">
        <v>1089</v>
      </c>
      <c r="L18" s="66">
        <v>0.02546296296296296</v>
      </c>
      <c r="M18" s="44"/>
      <c r="N18" s="44" t="s">
        <v>126</v>
      </c>
      <c r="O18" s="44"/>
      <c r="P18" s="7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1090</v>
      </c>
      <c r="C19" s="134" t="s">
        <v>1091</v>
      </c>
      <c r="D19" s="135" t="s">
        <v>1092</v>
      </c>
      <c r="E19" s="133"/>
      <c r="F19" s="134"/>
      <c r="G19" s="136"/>
      <c r="H19" s="133"/>
      <c r="I19" s="134"/>
      <c r="J19" s="136"/>
      <c r="K19" s="137" t="s">
        <v>1092</v>
      </c>
      <c r="L19" s="68"/>
      <c r="M19" s="44"/>
      <c r="N19" s="44"/>
      <c r="O19" s="44"/>
      <c r="P19" s="7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1093</v>
      </c>
      <c r="C20" s="138" t="s">
        <v>1094</v>
      </c>
      <c r="D20" s="139" t="s">
        <v>1095</v>
      </c>
      <c r="E20" s="133"/>
      <c r="F20" s="138"/>
      <c r="G20" s="136"/>
      <c r="H20" s="133"/>
      <c r="I20" s="138"/>
      <c r="J20" s="136"/>
      <c r="K20" s="137" t="s">
        <v>1095</v>
      </c>
      <c r="L20" s="66">
        <v>0.02229166666666667</v>
      </c>
      <c r="M20" s="44"/>
      <c r="N20" s="44" t="s">
        <v>126</v>
      </c>
      <c r="O20" s="44"/>
      <c r="P20" s="7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 t="s">
        <v>1096</v>
      </c>
      <c r="C21" s="141" t="s">
        <v>1097</v>
      </c>
      <c r="D21" s="70" t="s">
        <v>1098</v>
      </c>
      <c r="E21" s="140"/>
      <c r="F21" s="141"/>
      <c r="G21" s="70"/>
      <c r="H21" s="140"/>
      <c r="I21" s="141"/>
      <c r="J21" s="70"/>
      <c r="K21" s="142" t="s">
        <v>1098</v>
      </c>
      <c r="L21" s="82">
        <v>0.02644675925925926</v>
      </c>
      <c r="M21" s="44"/>
      <c r="N21" s="44" t="s">
        <v>126</v>
      </c>
      <c r="O21" s="44"/>
      <c r="P21" s="7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0.8403935185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1099</v>
      </c>
      <c r="C25" s="134" t="s">
        <v>1100</v>
      </c>
      <c r="D25" s="135" t="s">
        <v>1101</v>
      </c>
      <c r="E25" s="133"/>
      <c r="F25" s="134"/>
      <c r="G25" s="136"/>
      <c r="H25" s="133"/>
      <c r="I25" s="134"/>
      <c r="J25" s="136"/>
      <c r="K25" s="137" t="s">
        <v>1101</v>
      </c>
      <c r="L25" s="68"/>
      <c r="M25" s="44"/>
      <c r="N25" s="44" t="s">
        <v>608</v>
      </c>
      <c r="O25" s="44"/>
      <c r="P25" s="6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1102</v>
      </c>
      <c r="C26" s="134" t="s">
        <v>1103</v>
      </c>
      <c r="D26" s="135" t="s">
        <v>1104</v>
      </c>
      <c r="E26" s="133"/>
      <c r="F26" s="134"/>
      <c r="G26" s="136"/>
      <c r="H26" s="133"/>
      <c r="I26" s="134"/>
      <c r="J26" s="136"/>
      <c r="K26" s="137" t="s">
        <v>1104</v>
      </c>
      <c r="L26" s="66">
        <v>0.01871527777777778</v>
      </c>
      <c r="M26" s="44"/>
      <c r="N26" s="44" t="s">
        <v>126</v>
      </c>
      <c r="O26" s="44"/>
      <c r="P26" s="65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1105</v>
      </c>
      <c r="C27" s="138" t="s">
        <v>1106</v>
      </c>
      <c r="D27" s="139" t="s">
        <v>1107</v>
      </c>
      <c r="E27" s="133"/>
      <c r="F27" s="138"/>
      <c r="G27" s="136"/>
      <c r="H27" s="133"/>
      <c r="I27" s="138"/>
      <c r="J27" s="136"/>
      <c r="K27" s="137" t="s">
        <v>1107</v>
      </c>
      <c r="L27" s="66">
        <v>0.01081018518518518</v>
      </c>
      <c r="M27" s="44"/>
      <c r="N27" s="44" t="s">
        <v>126</v>
      </c>
      <c r="O27" s="44"/>
      <c r="P27" s="65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735</v>
      </c>
      <c r="C28" s="141" t="s">
        <v>1108</v>
      </c>
      <c r="D28" s="70" t="s">
        <v>328</v>
      </c>
      <c r="E28" s="140"/>
      <c r="F28" s="141"/>
      <c r="G28" s="70"/>
      <c r="H28" s="140"/>
      <c r="I28" s="141"/>
      <c r="J28" s="70"/>
      <c r="K28" s="142" t="s">
        <v>328</v>
      </c>
      <c r="L28" s="88"/>
      <c r="M28" s="44"/>
      <c r="N28" s="44"/>
      <c r="O28" s="44"/>
      <c r="P28" s="6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0.7412615741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1109</v>
      </c>
      <c r="C31" s="26" t="s">
        <v>1110</v>
      </c>
      <c r="D31" s="30" t="s">
        <v>1111</v>
      </c>
      <c r="E31" s="23"/>
      <c r="F31" s="26"/>
      <c r="G31" s="33"/>
      <c r="H31" s="23"/>
      <c r="I31" s="26"/>
      <c r="J31" s="33"/>
      <c r="K31" s="132" t="s">
        <v>1111</v>
      </c>
      <c r="L31" s="108"/>
      <c r="M31" s="39"/>
      <c r="N31" s="39"/>
      <c r="O31" s="38"/>
      <c r="P31" s="9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 t="s">
        <v>1112</v>
      </c>
      <c r="C32" s="134" t="s">
        <v>1113</v>
      </c>
      <c r="D32" s="135" t="s">
        <v>1114</v>
      </c>
      <c r="E32" s="133"/>
      <c r="F32" s="134"/>
      <c r="G32" s="136"/>
      <c r="H32" s="133"/>
      <c r="I32" s="134"/>
      <c r="J32" s="136"/>
      <c r="K32" s="137" t="s">
        <v>1114</v>
      </c>
      <c r="L32" s="68"/>
      <c r="M32" s="44"/>
      <c r="N32" s="44"/>
      <c r="O32" s="44"/>
      <c r="P32" s="6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1115</v>
      </c>
      <c r="C33" s="134" t="s">
        <v>1116</v>
      </c>
      <c r="D33" s="135" t="s">
        <v>1057</v>
      </c>
      <c r="E33" s="133"/>
      <c r="F33" s="134"/>
      <c r="G33" s="136"/>
      <c r="H33" s="133"/>
      <c r="I33" s="134"/>
      <c r="J33" s="136"/>
      <c r="K33" s="137" t="s">
        <v>1057</v>
      </c>
      <c r="L33" s="68"/>
      <c r="M33" s="44"/>
      <c r="N33" s="44"/>
      <c r="O33" s="44"/>
      <c r="P33" s="6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 t="s">
        <v>1117</v>
      </c>
      <c r="C34" s="138"/>
      <c r="D34" s="139" t="s">
        <v>137</v>
      </c>
      <c r="E34" s="133"/>
      <c r="F34" s="138"/>
      <c r="G34" s="136"/>
      <c r="H34" s="133"/>
      <c r="I34" s="138"/>
      <c r="J34" s="136"/>
      <c r="K34" s="137" t="s">
        <v>137</v>
      </c>
      <c r="L34" s="68"/>
      <c r="M34" s="44"/>
      <c r="N34" s="44"/>
      <c r="O34" s="44"/>
      <c r="P34" s="6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0.5441782407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.14"/>
    <col customWidth="1" min="3" max="3" width="10.71"/>
    <col customWidth="1" min="4" max="4" width="9.71"/>
    <col customWidth="1" min="5" max="5" width="13.14"/>
    <col customWidth="1" min="6" max="6" width="10.71"/>
    <col customWidth="1" min="7" max="7" width="9.71"/>
    <col customWidth="1" min="8" max="8" width="13.14"/>
    <col customWidth="1" min="9" max="9" width="10.71"/>
    <col customWidth="1" min="10" max="10" width="9.71"/>
    <col customWidth="1" min="11" max="11" width="25.29"/>
    <col customWidth="1" min="12" max="12" width="13.0"/>
    <col customWidth="1" min="13" max="13" width="0.43"/>
    <col customWidth="1" min="14" max="14" width="30.14"/>
    <col customWidth="1" min="15" max="15" width="0.43"/>
    <col customWidth="1" min="16" max="16" width="20.57"/>
    <col customWidth="1" min="17" max="17" width="31.29"/>
  </cols>
  <sheetData>
    <row r="1" ht="41.25" customHeight="1">
      <c r="A1" s="3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  <c r="Q1" s="9" t="s">
        <v>15</v>
      </c>
      <c r="R1" s="16">
        <f>SUM(P:P)</f>
        <v>2.559247685</v>
      </c>
      <c r="S1" s="1"/>
      <c r="T1" s="1"/>
      <c r="U1" s="1"/>
      <c r="V1" s="1"/>
      <c r="W1" s="1"/>
      <c r="X1" s="1"/>
      <c r="Y1" s="1"/>
      <c r="Z1" s="1"/>
    </row>
    <row r="2" ht="41.25" customHeight="1">
      <c r="A2" s="21" t="s">
        <v>19</v>
      </c>
      <c r="B2" s="23" t="s">
        <v>21</v>
      </c>
      <c r="C2" s="26" t="s">
        <v>26</v>
      </c>
      <c r="D2" s="30" t="s">
        <v>27</v>
      </c>
      <c r="E2" s="23" t="s">
        <v>28</v>
      </c>
      <c r="F2" s="26" t="s">
        <v>30</v>
      </c>
      <c r="G2" s="33" t="s">
        <v>31</v>
      </c>
      <c r="H2" s="23" t="s">
        <v>32</v>
      </c>
      <c r="I2" s="26" t="s">
        <v>33</v>
      </c>
      <c r="J2" s="33" t="s">
        <v>34</v>
      </c>
      <c r="K2" s="34" t="s">
        <v>35</v>
      </c>
      <c r="L2" s="36" t="s">
        <v>36</v>
      </c>
      <c r="M2" s="39"/>
      <c r="N2" s="42" t="s">
        <v>37</v>
      </c>
      <c r="O2" s="38"/>
      <c r="P2" s="43" t="s">
        <v>43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5">
        <v>46286.0</v>
      </c>
      <c r="B3" s="23"/>
      <c r="C3" s="26"/>
      <c r="D3" s="30"/>
      <c r="E3" s="23"/>
      <c r="F3" s="26"/>
      <c r="G3" s="33"/>
      <c r="H3" s="23"/>
      <c r="I3" s="26"/>
      <c r="J3" s="33"/>
      <c r="K3" s="132"/>
      <c r="L3" s="108"/>
      <c r="M3" s="39"/>
      <c r="N3" s="39"/>
      <c r="O3" s="39"/>
      <c r="P3" s="127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5">
        <v>46287.0</v>
      </c>
      <c r="B4" s="133"/>
      <c r="C4" s="134"/>
      <c r="D4" s="135"/>
      <c r="E4" s="133"/>
      <c r="F4" s="134"/>
      <c r="G4" s="136"/>
      <c r="H4" s="133"/>
      <c r="I4" s="134"/>
      <c r="J4" s="136"/>
      <c r="K4" s="137"/>
      <c r="L4" s="68"/>
      <c r="M4" s="44"/>
      <c r="N4" s="44"/>
      <c r="O4" s="44"/>
      <c r="P4" s="70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5">
        <v>46288.0</v>
      </c>
      <c r="B5" s="133"/>
      <c r="C5" s="134"/>
      <c r="D5" s="135"/>
      <c r="E5" s="133"/>
      <c r="F5" s="134"/>
      <c r="G5" s="136"/>
      <c r="H5" s="133"/>
      <c r="I5" s="134"/>
      <c r="J5" s="136"/>
      <c r="K5" s="137"/>
      <c r="L5" s="68"/>
      <c r="M5" s="44"/>
      <c r="N5" s="44"/>
      <c r="O5" s="44"/>
      <c r="P5" s="70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5">
        <v>46289.0</v>
      </c>
      <c r="B6" s="133"/>
      <c r="C6" s="138"/>
      <c r="D6" s="139"/>
      <c r="E6" s="133"/>
      <c r="F6" s="138"/>
      <c r="G6" s="136"/>
      <c r="H6" s="133"/>
      <c r="I6" s="138"/>
      <c r="J6" s="136"/>
      <c r="K6" s="137"/>
      <c r="L6" s="68"/>
      <c r="M6" s="44"/>
      <c r="N6" s="44"/>
      <c r="O6" s="44"/>
      <c r="P6" s="70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5">
        <v>46290.0</v>
      </c>
      <c r="B7" s="140"/>
      <c r="C7" s="141"/>
      <c r="D7" s="70"/>
      <c r="E7" s="140"/>
      <c r="F7" s="141"/>
      <c r="G7" s="70"/>
      <c r="H7" s="140"/>
      <c r="I7" s="141"/>
      <c r="J7" s="70"/>
      <c r="K7" s="142"/>
      <c r="L7" s="88"/>
      <c r="M7" s="44"/>
      <c r="N7" s="44"/>
      <c r="O7" s="44"/>
      <c r="P7" s="70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9"/>
      <c r="B8" s="81"/>
      <c r="C8" s="81"/>
      <c r="D8" s="79"/>
      <c r="E8" s="81"/>
      <c r="F8" s="81"/>
      <c r="G8" s="79"/>
      <c r="H8" s="81"/>
      <c r="I8" s="81"/>
      <c r="J8" s="79"/>
      <c r="K8" s="79"/>
      <c r="L8" s="88"/>
      <c r="M8" s="44"/>
      <c r="N8" s="44"/>
      <c r="O8" s="44"/>
      <c r="P8" s="70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4"/>
      <c r="B9" s="86"/>
      <c r="C9" s="86"/>
      <c r="D9" s="87"/>
      <c r="E9" s="86"/>
      <c r="F9" s="86"/>
      <c r="G9" s="87"/>
      <c r="H9" s="86"/>
      <c r="I9" s="86"/>
      <c r="J9" s="87"/>
      <c r="K9" s="89"/>
      <c r="L9" s="93"/>
      <c r="M9" s="94"/>
      <c r="N9" s="94"/>
      <c r="O9" s="94"/>
      <c r="P9" s="96">
        <f>SUMPRODUCT(VALUE(K3:K7))-(SUM(L3:L7))</f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5">
        <v>46293.0</v>
      </c>
      <c r="B10" s="23">
        <v>0.5</v>
      </c>
      <c r="C10" s="26">
        <v>0.6041666666666666</v>
      </c>
      <c r="D10" s="49">
        <f t="shared" ref="D10:D14" si="1">C10-B10</f>
        <v>0.1041666667</v>
      </c>
      <c r="E10" s="133" t="s">
        <v>1118</v>
      </c>
      <c r="F10" s="134" t="s">
        <v>1119</v>
      </c>
      <c r="G10" s="49">
        <f t="shared" ref="G10:G14" si="2">F10-E10</f>
        <v>0.07055555556</v>
      </c>
      <c r="H10" s="23"/>
      <c r="I10" s="26"/>
      <c r="J10" s="33"/>
      <c r="K10" s="51">
        <f t="shared" ref="K10:K14" si="3">D10+G10+J10</f>
        <v>0.1747222222</v>
      </c>
      <c r="L10" s="53">
        <v>0.008055555555555555</v>
      </c>
      <c r="M10" s="39"/>
      <c r="N10" s="39"/>
      <c r="O10" s="39"/>
      <c r="P10" s="15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5">
        <v>46294.0</v>
      </c>
      <c r="B11" s="133" t="s">
        <v>1120</v>
      </c>
      <c r="C11" s="134" t="s">
        <v>1121</v>
      </c>
      <c r="D11" s="61">
        <f t="shared" si="1"/>
        <v>0.1646875</v>
      </c>
      <c r="E11" s="133"/>
      <c r="F11" s="134"/>
      <c r="G11" s="61">
        <f t="shared" si="2"/>
        <v>0</v>
      </c>
      <c r="H11" s="133"/>
      <c r="I11" s="134"/>
      <c r="J11" s="136"/>
      <c r="K11" s="64">
        <f t="shared" si="3"/>
        <v>0.1646875</v>
      </c>
      <c r="L11" s="68"/>
      <c r="M11" s="44"/>
      <c r="N11" s="44"/>
      <c r="O11" s="44"/>
      <c r="P11" s="7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5">
        <v>46295.0</v>
      </c>
      <c r="B12" s="133" t="s">
        <v>1122</v>
      </c>
      <c r="C12" s="134" t="s">
        <v>1123</v>
      </c>
      <c r="D12" s="61">
        <f t="shared" si="1"/>
        <v>0.09466435185</v>
      </c>
      <c r="E12" s="133" t="s">
        <v>1118</v>
      </c>
      <c r="F12" s="134" t="s">
        <v>1119</v>
      </c>
      <c r="G12" s="61">
        <f t="shared" si="2"/>
        <v>0.07055555556</v>
      </c>
      <c r="H12" s="133"/>
      <c r="I12" s="134"/>
      <c r="J12" s="136"/>
      <c r="K12" s="64">
        <f t="shared" si="3"/>
        <v>0.1652199074</v>
      </c>
      <c r="L12" s="68"/>
      <c r="M12" s="44"/>
      <c r="N12" s="44"/>
      <c r="O12" s="44"/>
      <c r="P12" s="7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5">
        <v>46296.0</v>
      </c>
      <c r="B13" s="133" t="s">
        <v>1124</v>
      </c>
      <c r="C13" s="138" t="s">
        <v>1125</v>
      </c>
      <c r="D13" s="61">
        <f t="shared" si="1"/>
        <v>0.1669791667</v>
      </c>
      <c r="E13" s="133"/>
      <c r="F13" s="138"/>
      <c r="G13" s="61">
        <f t="shared" si="2"/>
        <v>0</v>
      </c>
      <c r="H13" s="133"/>
      <c r="I13" s="138"/>
      <c r="J13" s="136"/>
      <c r="K13" s="64">
        <f t="shared" si="3"/>
        <v>0.1669791667</v>
      </c>
      <c r="L13" s="68"/>
      <c r="M13" s="44"/>
      <c r="N13" s="44"/>
      <c r="O13" s="44"/>
      <c r="P13" s="7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5">
        <v>46297.0</v>
      </c>
      <c r="B14" s="140" t="s">
        <v>1126</v>
      </c>
      <c r="C14" s="141" t="s">
        <v>1127</v>
      </c>
      <c r="D14" s="78">
        <f t="shared" si="1"/>
        <v>0.2220833333</v>
      </c>
      <c r="E14" s="140"/>
      <c r="F14" s="141"/>
      <c r="G14" s="78">
        <f t="shared" si="2"/>
        <v>0</v>
      </c>
      <c r="H14" s="140"/>
      <c r="I14" s="141"/>
      <c r="J14" s="70"/>
      <c r="K14" s="80">
        <f t="shared" si="3"/>
        <v>0.2220833333</v>
      </c>
      <c r="L14" s="82">
        <v>0.01375</v>
      </c>
      <c r="M14" s="44"/>
      <c r="N14" s="44" t="s">
        <v>1128</v>
      </c>
      <c r="O14" s="44"/>
      <c r="P14" s="7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9"/>
      <c r="B15" s="81"/>
      <c r="C15" s="81"/>
      <c r="D15" s="79"/>
      <c r="E15" s="81"/>
      <c r="F15" s="81"/>
      <c r="G15" s="79"/>
      <c r="H15" s="81"/>
      <c r="I15" s="81"/>
      <c r="J15" s="79"/>
      <c r="K15" s="79"/>
      <c r="L15" s="88"/>
      <c r="M15" s="44"/>
      <c r="N15" s="44"/>
      <c r="O15" s="44"/>
      <c r="P15" s="7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4"/>
      <c r="B16" s="86"/>
      <c r="C16" s="86"/>
      <c r="D16" s="87"/>
      <c r="E16" s="86"/>
      <c r="F16" s="86"/>
      <c r="G16" s="87"/>
      <c r="H16" s="86"/>
      <c r="I16" s="86"/>
      <c r="J16" s="87"/>
      <c r="K16" s="87"/>
      <c r="L16" s="93"/>
      <c r="M16" s="94"/>
      <c r="N16" s="94"/>
      <c r="O16" s="94"/>
      <c r="P16" s="96">
        <f>SUMPRODUCT(VALUE(K10:K14))-(SUM(L10:L14))</f>
        <v>0.8718865741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5">
        <v>46300.0</v>
      </c>
      <c r="B17" s="23" t="s">
        <v>1129</v>
      </c>
      <c r="C17" s="26" t="s">
        <v>1130</v>
      </c>
      <c r="D17" s="30" t="s">
        <v>1131</v>
      </c>
      <c r="E17" s="23" t="s">
        <v>1132</v>
      </c>
      <c r="F17" s="26" t="s">
        <v>1133</v>
      </c>
      <c r="G17" s="33" t="s">
        <v>1134</v>
      </c>
      <c r="H17" s="23"/>
      <c r="I17" s="26"/>
      <c r="J17" s="33"/>
      <c r="K17" s="132" t="s">
        <v>1135</v>
      </c>
      <c r="L17" s="53">
        <v>0.01211805555555556</v>
      </c>
      <c r="M17" s="39"/>
      <c r="N17" s="39"/>
      <c r="O17" s="39"/>
      <c r="P17" s="15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5">
        <v>46301.0</v>
      </c>
      <c r="B18" s="133" t="s">
        <v>1136</v>
      </c>
      <c r="C18" s="134" t="s">
        <v>1137</v>
      </c>
      <c r="D18" s="135" t="s">
        <v>1138</v>
      </c>
      <c r="E18" s="133"/>
      <c r="F18" s="134"/>
      <c r="G18" s="136"/>
      <c r="H18" s="133"/>
      <c r="I18" s="134"/>
      <c r="J18" s="136"/>
      <c r="K18" s="137" t="s">
        <v>1138</v>
      </c>
      <c r="L18" s="68"/>
      <c r="M18" s="44"/>
      <c r="N18" s="44"/>
      <c r="O18" s="44"/>
      <c r="P18" s="7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5">
        <v>46302.0</v>
      </c>
      <c r="B19" s="133" t="s">
        <v>1139</v>
      </c>
      <c r="C19" s="134" t="s">
        <v>1140</v>
      </c>
      <c r="D19" s="135" t="s">
        <v>1141</v>
      </c>
      <c r="E19" s="133" t="s">
        <v>1142</v>
      </c>
      <c r="F19" s="134" t="s">
        <v>1143</v>
      </c>
      <c r="G19" s="136" t="s">
        <v>1144</v>
      </c>
      <c r="H19" s="133"/>
      <c r="I19" s="134"/>
      <c r="J19" s="136"/>
      <c r="K19" s="137" t="s">
        <v>1145</v>
      </c>
      <c r="L19" s="68"/>
      <c r="M19" s="44"/>
      <c r="N19" s="44"/>
      <c r="O19" s="44"/>
      <c r="P19" s="7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5">
        <v>46303.0</v>
      </c>
      <c r="B20" s="133" t="s">
        <v>1146</v>
      </c>
      <c r="C20" s="138" t="s">
        <v>1147</v>
      </c>
      <c r="D20" s="139" t="s">
        <v>1148</v>
      </c>
      <c r="E20" s="133"/>
      <c r="F20" s="138"/>
      <c r="G20" s="136"/>
      <c r="H20" s="133"/>
      <c r="I20" s="138"/>
      <c r="J20" s="136"/>
      <c r="K20" s="137" t="s">
        <v>1148</v>
      </c>
      <c r="L20" s="68"/>
      <c r="M20" s="44"/>
      <c r="N20" s="44"/>
      <c r="O20" s="44"/>
      <c r="P20" s="7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5">
        <v>46304.0</v>
      </c>
      <c r="B21" s="140"/>
      <c r="C21" s="141"/>
      <c r="D21" s="70"/>
      <c r="E21" s="140"/>
      <c r="F21" s="141"/>
      <c r="G21" s="70"/>
      <c r="H21" s="140"/>
      <c r="I21" s="141"/>
      <c r="J21" s="70"/>
      <c r="K21" s="142"/>
      <c r="L21" s="88"/>
      <c r="M21" s="44"/>
      <c r="N21" s="44"/>
      <c r="O21" s="44"/>
      <c r="P21" s="7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9"/>
      <c r="B22" s="81"/>
      <c r="C22" s="81"/>
      <c r="D22" s="79"/>
      <c r="E22" s="81"/>
      <c r="F22" s="81"/>
      <c r="G22" s="79"/>
      <c r="H22" s="81"/>
      <c r="I22" s="81"/>
      <c r="J22" s="79"/>
      <c r="K22" s="79"/>
      <c r="L22" s="88"/>
      <c r="M22" s="44"/>
      <c r="N22" s="44"/>
      <c r="O22" s="44"/>
      <c r="P22" s="70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4"/>
      <c r="B23" s="86"/>
      <c r="C23" s="86"/>
      <c r="D23" s="87"/>
      <c r="E23" s="86"/>
      <c r="F23" s="86"/>
      <c r="G23" s="87"/>
      <c r="H23" s="86"/>
      <c r="I23" s="86"/>
      <c r="J23" s="87"/>
      <c r="K23" s="87"/>
      <c r="L23" s="93"/>
      <c r="M23" s="94"/>
      <c r="N23" s="94"/>
      <c r="O23" s="94"/>
      <c r="P23" s="96">
        <f>SUMPRODUCT(VALUE(K17:K21))-(SUM(L17:L21))</f>
        <v>0.6628819444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5">
        <v>46307.0</v>
      </c>
      <c r="B24" s="23"/>
      <c r="C24" s="26"/>
      <c r="D24" s="30"/>
      <c r="E24" s="23"/>
      <c r="F24" s="26"/>
      <c r="G24" s="33"/>
      <c r="H24" s="23"/>
      <c r="I24" s="26"/>
      <c r="J24" s="33"/>
      <c r="K24" s="132"/>
      <c r="L24" s="108"/>
      <c r="M24" s="39"/>
      <c r="N24" s="39"/>
      <c r="O24" s="38"/>
      <c r="P24" s="9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5">
        <v>46308.0</v>
      </c>
      <c r="B25" s="133" t="s">
        <v>1149</v>
      </c>
      <c r="C25" s="134" t="s">
        <v>1150</v>
      </c>
      <c r="D25" s="135" t="s">
        <v>1151</v>
      </c>
      <c r="E25" s="133"/>
      <c r="F25" s="134"/>
      <c r="G25" s="136"/>
      <c r="H25" s="133"/>
      <c r="I25" s="134"/>
      <c r="J25" s="136"/>
      <c r="K25" s="137" t="s">
        <v>1151</v>
      </c>
      <c r="L25" s="68"/>
      <c r="M25" s="44"/>
      <c r="N25" s="44"/>
      <c r="O25" s="44"/>
      <c r="P25" s="6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5">
        <v>46309.0</v>
      </c>
      <c r="B26" s="133" t="s">
        <v>1152</v>
      </c>
      <c r="C26" s="134" t="s">
        <v>1153</v>
      </c>
      <c r="D26" s="135" t="s">
        <v>1154</v>
      </c>
      <c r="E26" s="133" t="s">
        <v>1155</v>
      </c>
      <c r="F26" s="134" t="s">
        <v>1156</v>
      </c>
      <c r="G26" s="136" t="s">
        <v>1157</v>
      </c>
      <c r="H26" s="133"/>
      <c r="I26" s="134"/>
      <c r="J26" s="136"/>
      <c r="K26" s="137" t="s">
        <v>1158</v>
      </c>
      <c r="L26" s="68"/>
      <c r="M26" s="44"/>
      <c r="N26" s="44"/>
      <c r="O26" s="44"/>
      <c r="P26" s="65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5">
        <v>46310.0</v>
      </c>
      <c r="B27" s="133" t="s">
        <v>1159</v>
      </c>
      <c r="C27" s="138" t="s">
        <v>1160</v>
      </c>
      <c r="D27" s="139" t="s">
        <v>1161</v>
      </c>
      <c r="E27" s="133"/>
      <c r="F27" s="138"/>
      <c r="G27" s="136"/>
      <c r="H27" s="133"/>
      <c r="I27" s="138"/>
      <c r="J27" s="136"/>
      <c r="K27" s="137" t="s">
        <v>1161</v>
      </c>
      <c r="L27" s="68"/>
      <c r="M27" s="44"/>
      <c r="N27" s="44"/>
      <c r="O27" s="44"/>
      <c r="P27" s="65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5">
        <v>46311.0</v>
      </c>
      <c r="B28" s="140" t="s">
        <v>1162</v>
      </c>
      <c r="C28" s="141" t="s">
        <v>1163</v>
      </c>
      <c r="D28" s="70" t="s">
        <v>1164</v>
      </c>
      <c r="E28" s="140" t="s">
        <v>1165</v>
      </c>
      <c r="F28" s="141" t="s">
        <v>1166</v>
      </c>
      <c r="G28" s="70" t="s">
        <v>1167</v>
      </c>
      <c r="H28" s="140"/>
      <c r="I28" s="141"/>
      <c r="J28" s="70"/>
      <c r="K28" s="142" t="s">
        <v>1168</v>
      </c>
      <c r="L28" s="88"/>
      <c r="M28" s="44"/>
      <c r="N28" s="44"/>
      <c r="O28" s="44"/>
      <c r="P28" s="6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9"/>
      <c r="B29" s="81"/>
      <c r="C29" s="81"/>
      <c r="D29" s="79"/>
      <c r="E29" s="81"/>
      <c r="F29" s="81"/>
      <c r="G29" s="79"/>
      <c r="H29" s="81"/>
      <c r="I29" s="81"/>
      <c r="J29" s="79"/>
      <c r="K29" s="79"/>
      <c r="L29" s="88"/>
      <c r="M29" s="44"/>
      <c r="N29" s="44"/>
      <c r="O29" s="44"/>
      <c r="P29" s="6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4"/>
      <c r="B30" s="86"/>
      <c r="C30" s="86"/>
      <c r="D30" s="87"/>
      <c r="E30" s="86"/>
      <c r="F30" s="86"/>
      <c r="G30" s="87"/>
      <c r="H30" s="86"/>
      <c r="I30" s="86"/>
      <c r="J30" s="87"/>
      <c r="K30" s="87"/>
      <c r="L30" s="93"/>
      <c r="M30" s="94"/>
      <c r="N30" s="94"/>
      <c r="O30" s="92"/>
      <c r="P30" s="95">
        <f>SUMPRODUCT(VALUE(K24:K28))-(SUM(L24:L28))</f>
        <v>0.6820601852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>
        <v>46314.0</v>
      </c>
      <c r="B31" s="23" t="s">
        <v>1169</v>
      </c>
      <c r="C31" s="26" t="s">
        <v>1170</v>
      </c>
      <c r="D31" s="30" t="s">
        <v>1171</v>
      </c>
      <c r="E31" s="23" t="s">
        <v>1172</v>
      </c>
      <c r="F31" s="26" t="s">
        <v>1173</v>
      </c>
      <c r="G31" s="33" t="s">
        <v>1174</v>
      </c>
      <c r="H31" s="23"/>
      <c r="I31" s="26"/>
      <c r="J31" s="33"/>
      <c r="K31" s="132" t="s">
        <v>1175</v>
      </c>
      <c r="L31" s="108"/>
      <c r="M31" s="39"/>
      <c r="N31" s="39"/>
      <c r="O31" s="38"/>
      <c r="P31" s="9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5">
        <v>46315.0</v>
      </c>
      <c r="B32" s="133"/>
      <c r="C32" s="134" t="s">
        <v>1176</v>
      </c>
      <c r="D32" s="135" t="s">
        <v>137</v>
      </c>
      <c r="E32" s="133"/>
      <c r="F32" s="134"/>
      <c r="G32" s="136"/>
      <c r="H32" s="133"/>
      <c r="I32" s="134"/>
      <c r="J32" s="136"/>
      <c r="K32" s="137" t="s">
        <v>137</v>
      </c>
      <c r="L32" s="68"/>
      <c r="M32" s="44"/>
      <c r="N32" s="44"/>
      <c r="O32" s="44"/>
      <c r="P32" s="6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>
        <v>46316.0</v>
      </c>
      <c r="B33" s="133" t="s">
        <v>1177</v>
      </c>
      <c r="C33" s="134" t="s">
        <v>1178</v>
      </c>
      <c r="D33" s="135" t="s">
        <v>1179</v>
      </c>
      <c r="E33" s="133" t="s">
        <v>1180</v>
      </c>
      <c r="F33" s="134" t="s">
        <v>1181</v>
      </c>
      <c r="G33" s="136" t="s">
        <v>1182</v>
      </c>
      <c r="H33" s="133"/>
      <c r="I33" s="134"/>
      <c r="J33" s="136"/>
      <c r="K33" s="137" t="s">
        <v>1183</v>
      </c>
      <c r="L33" s="68"/>
      <c r="M33" s="44"/>
      <c r="N33" s="44"/>
      <c r="O33" s="44"/>
      <c r="P33" s="6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5">
        <v>46317.0</v>
      </c>
      <c r="B34" s="133"/>
      <c r="C34" s="138"/>
      <c r="D34" s="139"/>
      <c r="E34" s="133"/>
      <c r="F34" s="138"/>
      <c r="G34" s="136"/>
      <c r="H34" s="133"/>
      <c r="I34" s="138"/>
      <c r="J34" s="136"/>
      <c r="K34" s="137"/>
      <c r="L34" s="68"/>
      <c r="M34" s="44"/>
      <c r="N34" s="44"/>
      <c r="O34" s="44"/>
      <c r="P34" s="6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>
        <v>46318.0</v>
      </c>
      <c r="B35" s="140"/>
      <c r="C35" s="141"/>
      <c r="D35" s="70"/>
      <c r="E35" s="140"/>
      <c r="F35" s="141"/>
      <c r="G35" s="70"/>
      <c r="H35" s="140"/>
      <c r="I35" s="141"/>
      <c r="J35" s="70"/>
      <c r="K35" s="142"/>
      <c r="L35" s="88"/>
      <c r="M35" s="44"/>
      <c r="N35" s="44"/>
      <c r="O35" s="44"/>
      <c r="P35" s="6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9"/>
      <c r="B36" s="81"/>
      <c r="C36" s="81"/>
      <c r="D36" s="79"/>
      <c r="E36" s="81"/>
      <c r="F36" s="81"/>
      <c r="G36" s="79"/>
      <c r="H36" s="81"/>
      <c r="I36" s="81"/>
      <c r="J36" s="79"/>
      <c r="K36" s="79"/>
      <c r="L36" s="88"/>
      <c r="M36" s="44"/>
      <c r="N36" s="44"/>
      <c r="O36" s="44"/>
      <c r="P36" s="6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4"/>
      <c r="B37" s="86"/>
      <c r="C37" s="86"/>
      <c r="D37" s="87"/>
      <c r="E37" s="86"/>
      <c r="F37" s="86"/>
      <c r="G37" s="87"/>
      <c r="H37" s="86"/>
      <c r="I37" s="86"/>
      <c r="J37" s="87"/>
      <c r="K37" s="87"/>
      <c r="L37" s="93"/>
      <c r="M37" s="94"/>
      <c r="N37" s="94"/>
      <c r="O37" s="92"/>
      <c r="P37" s="95">
        <f>SUMPRODUCT(VALUE(K31:K35))-(SUM(L31:L35))</f>
        <v>0.3424189815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5">
        <v>46321.0</v>
      </c>
      <c r="B38" s="23"/>
      <c r="C38" s="26"/>
      <c r="D38" s="30"/>
      <c r="E38" s="23"/>
      <c r="F38" s="26"/>
      <c r="G38" s="33"/>
      <c r="H38" s="23"/>
      <c r="I38" s="26"/>
      <c r="J38" s="33"/>
      <c r="K38" s="132"/>
      <c r="L38" s="108"/>
      <c r="M38" s="39"/>
      <c r="N38" s="39"/>
      <c r="O38" s="38"/>
      <c r="P38" s="9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>
        <v>46322.0</v>
      </c>
      <c r="B39" s="133"/>
      <c r="C39" s="134"/>
      <c r="D39" s="135"/>
      <c r="E39" s="133"/>
      <c r="F39" s="134"/>
      <c r="G39" s="136"/>
      <c r="H39" s="133"/>
      <c r="I39" s="134"/>
      <c r="J39" s="136"/>
      <c r="K39" s="137"/>
      <c r="L39" s="68"/>
      <c r="M39" s="44"/>
      <c r="N39" s="44"/>
      <c r="O39" s="44"/>
      <c r="P39" s="6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5">
        <v>46323.0</v>
      </c>
      <c r="B40" s="133"/>
      <c r="C40" s="134"/>
      <c r="D40" s="135"/>
      <c r="E40" s="133"/>
      <c r="F40" s="134"/>
      <c r="G40" s="136"/>
      <c r="H40" s="133"/>
      <c r="I40" s="134"/>
      <c r="J40" s="136"/>
      <c r="K40" s="137"/>
      <c r="L40" s="68"/>
      <c r="M40" s="44"/>
      <c r="N40" s="44"/>
      <c r="O40" s="44"/>
      <c r="P40" s="6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>
        <v>46324.0</v>
      </c>
      <c r="B41" s="133"/>
      <c r="C41" s="138"/>
      <c r="D41" s="139"/>
      <c r="E41" s="133"/>
      <c r="F41" s="138"/>
      <c r="G41" s="136"/>
      <c r="H41" s="133"/>
      <c r="I41" s="138"/>
      <c r="J41" s="136"/>
      <c r="K41" s="137"/>
      <c r="L41" s="68"/>
      <c r="M41" s="44"/>
      <c r="N41" s="44"/>
      <c r="O41" s="44"/>
      <c r="P41" s="6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>
        <v>46325.0</v>
      </c>
      <c r="B42" s="140"/>
      <c r="C42" s="141"/>
      <c r="D42" s="70"/>
      <c r="E42" s="140"/>
      <c r="F42" s="141"/>
      <c r="G42" s="70"/>
      <c r="H42" s="140"/>
      <c r="I42" s="141"/>
      <c r="J42" s="70"/>
      <c r="K42" s="142"/>
      <c r="L42" s="88"/>
      <c r="M42" s="44"/>
      <c r="N42" s="44"/>
      <c r="O42" s="44"/>
      <c r="P42" s="6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9"/>
      <c r="B43" s="81"/>
      <c r="C43" s="81"/>
      <c r="D43" s="79"/>
      <c r="E43" s="81"/>
      <c r="F43" s="81"/>
      <c r="G43" s="79"/>
      <c r="H43" s="81"/>
      <c r="I43" s="81"/>
      <c r="J43" s="79"/>
      <c r="K43" s="79"/>
      <c r="L43" s="88"/>
      <c r="M43" s="44"/>
      <c r="N43" s="44"/>
      <c r="O43" s="44"/>
      <c r="P43" s="6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4"/>
      <c r="B44" s="86"/>
      <c r="C44" s="86"/>
      <c r="D44" s="87"/>
      <c r="E44" s="86"/>
      <c r="F44" s="86"/>
      <c r="G44" s="87"/>
      <c r="H44" s="86"/>
      <c r="I44" s="86"/>
      <c r="J44" s="87"/>
      <c r="K44" s="87"/>
      <c r="L44" s="93"/>
      <c r="M44" s="94"/>
      <c r="N44" s="94"/>
      <c r="O44" s="92"/>
      <c r="P44" s="95">
        <f>SUMPRODUCT(VALUE(K38:K42))-(SUM(L38:L42))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>
        <v>46328.0</v>
      </c>
      <c r="B45" s="23"/>
      <c r="C45" s="26"/>
      <c r="D45" s="30"/>
      <c r="E45" s="23"/>
      <c r="F45" s="26"/>
      <c r="G45" s="33"/>
      <c r="H45" s="23"/>
      <c r="I45" s="26"/>
      <c r="J45" s="33"/>
      <c r="K45" s="132"/>
      <c r="L45" s="108"/>
      <c r="M45" s="39"/>
      <c r="N45" s="39"/>
      <c r="O45" s="38"/>
      <c r="P45" s="9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>
        <v>46329.0</v>
      </c>
      <c r="B46" s="133"/>
      <c r="C46" s="134"/>
      <c r="D46" s="135"/>
      <c r="E46" s="133"/>
      <c r="F46" s="134"/>
      <c r="G46" s="136"/>
      <c r="H46" s="133"/>
      <c r="I46" s="134"/>
      <c r="J46" s="136"/>
      <c r="K46" s="137"/>
      <c r="L46" s="68"/>
      <c r="M46" s="44"/>
      <c r="N46" s="44"/>
      <c r="O46" s="44"/>
      <c r="P46" s="6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>
        <v>46330.0</v>
      </c>
      <c r="B47" s="133"/>
      <c r="C47" s="134"/>
      <c r="D47" s="135"/>
      <c r="E47" s="133"/>
      <c r="F47" s="134"/>
      <c r="G47" s="136"/>
      <c r="H47" s="133"/>
      <c r="I47" s="134"/>
      <c r="J47" s="136"/>
      <c r="K47" s="137"/>
      <c r="L47" s="68"/>
      <c r="M47" s="44"/>
      <c r="N47" s="44"/>
      <c r="O47" s="44"/>
      <c r="P47" s="6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>
        <v>46331.0</v>
      </c>
      <c r="B48" s="133"/>
      <c r="C48" s="138"/>
      <c r="D48" s="139"/>
      <c r="E48" s="133"/>
      <c r="F48" s="138"/>
      <c r="G48" s="136"/>
      <c r="H48" s="133"/>
      <c r="I48" s="138"/>
      <c r="J48" s="136"/>
      <c r="K48" s="137"/>
      <c r="L48" s="68"/>
      <c r="M48" s="44"/>
      <c r="N48" s="44"/>
      <c r="O48" s="44"/>
      <c r="P48" s="6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>
        <v>46332.0</v>
      </c>
      <c r="B49" s="140"/>
      <c r="C49" s="141"/>
      <c r="D49" s="70"/>
      <c r="E49" s="140"/>
      <c r="F49" s="141"/>
      <c r="G49" s="70"/>
      <c r="H49" s="140"/>
      <c r="I49" s="141"/>
      <c r="J49" s="70"/>
      <c r="K49" s="142"/>
      <c r="L49" s="88"/>
      <c r="M49" s="44"/>
      <c r="N49" s="44"/>
      <c r="O49" s="44"/>
      <c r="P49" s="6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9"/>
      <c r="B50" s="81"/>
      <c r="C50" s="81"/>
      <c r="D50" s="79"/>
      <c r="E50" s="81"/>
      <c r="F50" s="81"/>
      <c r="G50" s="79"/>
      <c r="H50" s="81"/>
      <c r="I50" s="81"/>
      <c r="J50" s="79"/>
      <c r="K50" s="79"/>
      <c r="L50" s="88"/>
      <c r="M50" s="44"/>
      <c r="N50" s="44"/>
      <c r="O50" s="44"/>
      <c r="P50" s="6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4"/>
      <c r="B51" s="86"/>
      <c r="C51" s="86"/>
      <c r="D51" s="87"/>
      <c r="E51" s="86"/>
      <c r="F51" s="86"/>
      <c r="G51" s="87"/>
      <c r="H51" s="86"/>
      <c r="I51" s="86"/>
      <c r="J51" s="87"/>
      <c r="K51" s="87"/>
      <c r="L51" s="93"/>
      <c r="M51" s="94"/>
      <c r="N51" s="94"/>
      <c r="O51" s="92"/>
      <c r="P51" s="95">
        <f>SUMPRODUCT(VALUE(K45:K49))-(SUM(L45:L49))</f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>
        <v>46335.0</v>
      </c>
      <c r="B52" s="23"/>
      <c r="C52" s="26"/>
      <c r="D52" s="30"/>
      <c r="E52" s="23"/>
      <c r="F52" s="26"/>
      <c r="G52" s="33"/>
      <c r="H52" s="23"/>
      <c r="I52" s="26"/>
      <c r="J52" s="33"/>
      <c r="K52" s="132"/>
      <c r="L52" s="108"/>
      <c r="M52" s="39"/>
      <c r="N52" s="39"/>
      <c r="O52" s="3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>
        <v>46336.0</v>
      </c>
      <c r="B53" s="133"/>
      <c r="C53" s="134"/>
      <c r="D53" s="135"/>
      <c r="E53" s="133"/>
      <c r="F53" s="134"/>
      <c r="G53" s="136"/>
      <c r="H53" s="133"/>
      <c r="I53" s="134"/>
      <c r="J53" s="136"/>
      <c r="K53" s="137"/>
      <c r="L53" s="68"/>
      <c r="M53" s="44"/>
      <c r="N53" s="44"/>
      <c r="O53" s="44"/>
      <c r="P53" s="6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>
        <v>46337.0</v>
      </c>
      <c r="B54" s="133"/>
      <c r="C54" s="134"/>
      <c r="D54" s="135"/>
      <c r="E54" s="133"/>
      <c r="F54" s="134"/>
      <c r="G54" s="136"/>
      <c r="H54" s="133"/>
      <c r="I54" s="134"/>
      <c r="J54" s="136"/>
      <c r="K54" s="137"/>
      <c r="L54" s="68"/>
      <c r="M54" s="44"/>
      <c r="N54" s="44"/>
      <c r="O54" s="44"/>
      <c r="P54" s="6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>
        <v>46338.0</v>
      </c>
      <c r="B55" s="133"/>
      <c r="C55" s="138"/>
      <c r="D55" s="139"/>
      <c r="E55" s="133"/>
      <c r="F55" s="138"/>
      <c r="G55" s="136"/>
      <c r="H55" s="133"/>
      <c r="I55" s="138"/>
      <c r="J55" s="136"/>
      <c r="K55" s="137"/>
      <c r="L55" s="68"/>
      <c r="M55" s="44"/>
      <c r="N55" s="44"/>
      <c r="O55" s="44"/>
      <c r="P55" s="6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>
        <v>46339.0</v>
      </c>
      <c r="B56" s="140"/>
      <c r="C56" s="141"/>
      <c r="D56" s="70"/>
      <c r="E56" s="140"/>
      <c r="F56" s="141"/>
      <c r="G56" s="70"/>
      <c r="H56" s="140"/>
      <c r="I56" s="141"/>
      <c r="J56" s="70"/>
      <c r="K56" s="142"/>
      <c r="L56" s="88"/>
      <c r="M56" s="44"/>
      <c r="N56" s="44"/>
      <c r="O56" s="44"/>
      <c r="P56" s="6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79"/>
      <c r="B57" s="81"/>
      <c r="C57" s="81"/>
      <c r="D57" s="79"/>
      <c r="E57" s="81"/>
      <c r="F57" s="81"/>
      <c r="G57" s="79"/>
      <c r="H57" s="81"/>
      <c r="I57" s="81"/>
      <c r="J57" s="79"/>
      <c r="K57" s="79"/>
      <c r="L57" s="88"/>
      <c r="M57" s="44"/>
      <c r="N57" s="44"/>
      <c r="O57" s="44"/>
      <c r="P57" s="6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4"/>
      <c r="B58" s="86"/>
      <c r="C58" s="86"/>
      <c r="D58" s="87"/>
      <c r="E58" s="86"/>
      <c r="F58" s="86"/>
      <c r="G58" s="87"/>
      <c r="H58" s="86"/>
      <c r="I58" s="86"/>
      <c r="J58" s="87"/>
      <c r="K58" s="87"/>
      <c r="L58" s="93"/>
      <c r="M58" s="94"/>
      <c r="N58" s="94"/>
      <c r="O58" s="92"/>
      <c r="P58" s="95">
        <f>SUMPRODUCT(VALUE(K52:K56))-(SUM(L52:L56))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>
        <v>46342.0</v>
      </c>
      <c r="B59" s="23"/>
      <c r="C59" s="26"/>
      <c r="D59" s="30"/>
      <c r="E59" s="23"/>
      <c r="F59" s="26"/>
      <c r="G59" s="33"/>
      <c r="H59" s="23"/>
      <c r="I59" s="26"/>
      <c r="J59" s="33"/>
      <c r="K59" s="132"/>
      <c r="L59" s="108"/>
      <c r="M59" s="39"/>
      <c r="N59" s="39"/>
      <c r="O59" s="38"/>
      <c r="P59" s="9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>
        <v>46343.0</v>
      </c>
      <c r="B60" s="133"/>
      <c r="C60" s="134"/>
      <c r="D60" s="135"/>
      <c r="E60" s="133"/>
      <c r="F60" s="134"/>
      <c r="G60" s="136"/>
      <c r="H60" s="133"/>
      <c r="I60" s="134"/>
      <c r="J60" s="136"/>
      <c r="K60" s="137"/>
      <c r="L60" s="68"/>
      <c r="M60" s="44"/>
      <c r="N60" s="44"/>
      <c r="O60" s="44"/>
      <c r="P60" s="6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>
        <v>46344.0</v>
      </c>
      <c r="B61" s="133"/>
      <c r="C61" s="134"/>
      <c r="D61" s="135"/>
      <c r="E61" s="133"/>
      <c r="F61" s="134"/>
      <c r="G61" s="136"/>
      <c r="H61" s="133"/>
      <c r="I61" s="134"/>
      <c r="J61" s="136"/>
      <c r="K61" s="137"/>
      <c r="L61" s="68"/>
      <c r="M61" s="44"/>
      <c r="N61" s="44"/>
      <c r="O61" s="44"/>
      <c r="P61" s="6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>
        <v>46345.0</v>
      </c>
      <c r="B62" s="133"/>
      <c r="C62" s="138"/>
      <c r="D62" s="139"/>
      <c r="E62" s="133"/>
      <c r="F62" s="138"/>
      <c r="G62" s="136"/>
      <c r="H62" s="133"/>
      <c r="I62" s="138"/>
      <c r="J62" s="136"/>
      <c r="K62" s="137"/>
      <c r="L62" s="68"/>
      <c r="M62" s="44"/>
      <c r="N62" s="44"/>
      <c r="O62" s="44"/>
      <c r="P62" s="6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>
        <v>46346.0</v>
      </c>
      <c r="B63" s="140"/>
      <c r="C63" s="141"/>
      <c r="D63" s="70"/>
      <c r="E63" s="140"/>
      <c r="F63" s="141"/>
      <c r="G63" s="70"/>
      <c r="H63" s="140"/>
      <c r="I63" s="141"/>
      <c r="J63" s="70"/>
      <c r="K63" s="142"/>
      <c r="L63" s="88"/>
      <c r="M63" s="44"/>
      <c r="N63" s="44"/>
      <c r="O63" s="44"/>
      <c r="P63" s="6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9"/>
      <c r="B64" s="81"/>
      <c r="C64" s="81"/>
      <c r="D64" s="79"/>
      <c r="E64" s="81"/>
      <c r="F64" s="81"/>
      <c r="G64" s="79"/>
      <c r="H64" s="81"/>
      <c r="I64" s="81"/>
      <c r="J64" s="79"/>
      <c r="K64" s="79"/>
      <c r="L64" s="88"/>
      <c r="M64" s="44"/>
      <c r="N64" s="44"/>
      <c r="O64" s="44"/>
      <c r="P64" s="6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4"/>
      <c r="B65" s="86"/>
      <c r="C65" s="86"/>
      <c r="D65" s="87"/>
      <c r="E65" s="86"/>
      <c r="F65" s="86"/>
      <c r="G65" s="87"/>
      <c r="H65" s="86"/>
      <c r="I65" s="86"/>
      <c r="J65" s="87"/>
      <c r="K65" s="87"/>
      <c r="L65" s="93"/>
      <c r="M65" s="94"/>
      <c r="N65" s="94"/>
      <c r="O65" s="92"/>
      <c r="P65" s="95">
        <f>SUMPRODUCT(VALUE(K59:K63))-(SUM(L59:L63))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>
        <v>46349.0</v>
      </c>
      <c r="B66" s="23"/>
      <c r="C66" s="26"/>
      <c r="D66" s="30"/>
      <c r="E66" s="23"/>
      <c r="F66" s="26"/>
      <c r="G66" s="33"/>
      <c r="H66" s="23"/>
      <c r="I66" s="26"/>
      <c r="J66" s="33"/>
      <c r="K66" s="132"/>
      <c r="L66" s="108"/>
      <c r="M66" s="39"/>
      <c r="N66" s="39"/>
      <c r="O66" s="38"/>
      <c r="P66" s="9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>
        <v>46350.0</v>
      </c>
      <c r="B67" s="133"/>
      <c r="C67" s="134"/>
      <c r="D67" s="135"/>
      <c r="E67" s="133"/>
      <c r="F67" s="134"/>
      <c r="G67" s="136"/>
      <c r="H67" s="133"/>
      <c r="I67" s="134"/>
      <c r="J67" s="136"/>
      <c r="K67" s="137"/>
      <c r="L67" s="68"/>
      <c r="M67" s="44"/>
      <c r="N67" s="44"/>
      <c r="O67" s="44"/>
      <c r="P67" s="6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>
        <v>46351.0</v>
      </c>
      <c r="B68" s="133"/>
      <c r="C68" s="134"/>
      <c r="D68" s="135"/>
      <c r="E68" s="133"/>
      <c r="F68" s="134"/>
      <c r="G68" s="136"/>
      <c r="H68" s="133"/>
      <c r="I68" s="134"/>
      <c r="J68" s="136"/>
      <c r="K68" s="137"/>
      <c r="L68" s="68"/>
      <c r="M68" s="44"/>
      <c r="N68" s="44"/>
      <c r="O68" s="44"/>
      <c r="P68" s="6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>
        <v>46352.0</v>
      </c>
      <c r="B69" s="133"/>
      <c r="C69" s="138"/>
      <c r="D69" s="139"/>
      <c r="E69" s="133"/>
      <c r="F69" s="138"/>
      <c r="G69" s="136"/>
      <c r="H69" s="133"/>
      <c r="I69" s="138"/>
      <c r="J69" s="136"/>
      <c r="K69" s="137"/>
      <c r="L69" s="68"/>
      <c r="M69" s="44"/>
      <c r="N69" s="44"/>
      <c r="O69" s="44"/>
      <c r="P69" s="6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>
        <v>46353.0</v>
      </c>
      <c r="B70" s="140"/>
      <c r="C70" s="141"/>
      <c r="D70" s="70"/>
      <c r="E70" s="140"/>
      <c r="F70" s="141"/>
      <c r="G70" s="70"/>
      <c r="H70" s="140"/>
      <c r="I70" s="141"/>
      <c r="J70" s="70"/>
      <c r="K70" s="142"/>
      <c r="L70" s="88"/>
      <c r="M70" s="44"/>
      <c r="N70" s="44"/>
      <c r="O70" s="44"/>
      <c r="P70" s="6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79"/>
      <c r="B71" s="81"/>
      <c r="C71" s="81"/>
      <c r="D71" s="79"/>
      <c r="E71" s="81"/>
      <c r="F71" s="81"/>
      <c r="G71" s="79"/>
      <c r="H71" s="81"/>
      <c r="I71" s="81"/>
      <c r="J71" s="79"/>
      <c r="K71" s="79"/>
      <c r="L71" s="88"/>
      <c r="M71" s="44"/>
      <c r="N71" s="44"/>
      <c r="O71" s="44"/>
      <c r="P71" s="6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4"/>
      <c r="B72" s="86"/>
      <c r="C72" s="86"/>
      <c r="D72" s="87"/>
      <c r="E72" s="86"/>
      <c r="F72" s="86"/>
      <c r="G72" s="87"/>
      <c r="H72" s="86"/>
      <c r="I72" s="86"/>
      <c r="J72" s="87"/>
      <c r="K72" s="87"/>
      <c r="L72" s="93"/>
      <c r="M72" s="94"/>
      <c r="N72" s="94"/>
      <c r="O72" s="92"/>
      <c r="P72" s="95">
        <f>SUMPRODUCT(VALUE(K66:K70))-(SUM(L66:L70))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>
        <v>46356.0</v>
      </c>
      <c r="B73" s="23"/>
      <c r="C73" s="26"/>
      <c r="D73" s="30"/>
      <c r="E73" s="23"/>
      <c r="F73" s="26"/>
      <c r="G73" s="33"/>
      <c r="H73" s="23"/>
      <c r="I73" s="26"/>
      <c r="J73" s="33"/>
      <c r="K73" s="132"/>
      <c r="L73" s="108"/>
      <c r="M73" s="39"/>
      <c r="N73" s="39"/>
      <c r="O73" s="38"/>
      <c r="P73" s="9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>
        <v>46357.0</v>
      </c>
      <c r="B74" s="133"/>
      <c r="C74" s="134"/>
      <c r="D74" s="135"/>
      <c r="E74" s="133"/>
      <c r="F74" s="134"/>
      <c r="G74" s="136"/>
      <c r="H74" s="133"/>
      <c r="I74" s="134"/>
      <c r="J74" s="136"/>
      <c r="K74" s="137"/>
      <c r="L74" s="68"/>
      <c r="M74" s="44"/>
      <c r="N74" s="44"/>
      <c r="O74" s="44"/>
      <c r="P74" s="6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>
        <v>46358.0</v>
      </c>
      <c r="B75" s="133"/>
      <c r="C75" s="134"/>
      <c r="D75" s="135"/>
      <c r="E75" s="133"/>
      <c r="F75" s="134"/>
      <c r="G75" s="136"/>
      <c r="H75" s="133"/>
      <c r="I75" s="134"/>
      <c r="J75" s="136"/>
      <c r="K75" s="137"/>
      <c r="L75" s="68"/>
      <c r="M75" s="44"/>
      <c r="N75" s="44"/>
      <c r="O75" s="44"/>
      <c r="P75" s="6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>
        <v>46359.0</v>
      </c>
      <c r="B76" s="133"/>
      <c r="C76" s="138"/>
      <c r="D76" s="139"/>
      <c r="E76" s="133"/>
      <c r="F76" s="138"/>
      <c r="G76" s="136"/>
      <c r="H76" s="133"/>
      <c r="I76" s="138"/>
      <c r="J76" s="136"/>
      <c r="K76" s="137"/>
      <c r="L76" s="68"/>
      <c r="M76" s="44"/>
      <c r="N76" s="44"/>
      <c r="O76" s="44"/>
      <c r="P76" s="6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>
        <v>46360.0</v>
      </c>
      <c r="B77" s="140"/>
      <c r="C77" s="141"/>
      <c r="D77" s="70"/>
      <c r="E77" s="140"/>
      <c r="F77" s="141"/>
      <c r="G77" s="70"/>
      <c r="H77" s="140"/>
      <c r="I77" s="141"/>
      <c r="J77" s="70"/>
      <c r="K77" s="142"/>
      <c r="L77" s="88"/>
      <c r="M77" s="44"/>
      <c r="N77" s="44"/>
      <c r="O77" s="44"/>
      <c r="P77" s="6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9"/>
      <c r="B78" s="81"/>
      <c r="C78" s="81"/>
      <c r="D78" s="79"/>
      <c r="E78" s="81"/>
      <c r="F78" s="81"/>
      <c r="G78" s="79"/>
      <c r="H78" s="81"/>
      <c r="I78" s="81"/>
      <c r="J78" s="79"/>
      <c r="K78" s="79"/>
      <c r="L78" s="88"/>
      <c r="M78" s="44"/>
      <c r="N78" s="44"/>
      <c r="O78" s="44"/>
      <c r="P78" s="6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4"/>
      <c r="B79" s="86"/>
      <c r="C79" s="86"/>
      <c r="D79" s="87"/>
      <c r="E79" s="86"/>
      <c r="F79" s="86"/>
      <c r="G79" s="87"/>
      <c r="H79" s="86"/>
      <c r="I79" s="86"/>
      <c r="J79" s="87"/>
      <c r="K79" s="87"/>
      <c r="L79" s="93"/>
      <c r="M79" s="94"/>
      <c r="N79" s="94"/>
      <c r="O79" s="92"/>
      <c r="P79" s="95">
        <f>SUMPRODUCT(VALUE(K73:K77))-(SUM(L73:L77))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>
        <v>46363.0</v>
      </c>
      <c r="B80" s="23"/>
      <c r="C80" s="26"/>
      <c r="D80" s="30"/>
      <c r="E80" s="23"/>
      <c r="F80" s="26"/>
      <c r="G80" s="33"/>
      <c r="H80" s="23"/>
      <c r="I80" s="26"/>
      <c r="J80" s="33"/>
      <c r="K80" s="132"/>
      <c r="L80" s="108"/>
      <c r="M80" s="39"/>
      <c r="N80" s="39"/>
      <c r="O80" s="38"/>
      <c r="P80" s="9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>
        <v>46364.0</v>
      </c>
      <c r="B81" s="133"/>
      <c r="C81" s="134"/>
      <c r="D81" s="135"/>
      <c r="E81" s="133"/>
      <c r="F81" s="134"/>
      <c r="G81" s="136"/>
      <c r="H81" s="133"/>
      <c r="I81" s="134"/>
      <c r="J81" s="136"/>
      <c r="K81" s="137"/>
      <c r="L81" s="68"/>
      <c r="M81" s="44"/>
      <c r="N81" s="44"/>
      <c r="O81" s="44"/>
      <c r="P81" s="6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>
        <v>46365.0</v>
      </c>
      <c r="B82" s="133"/>
      <c r="C82" s="134"/>
      <c r="D82" s="135"/>
      <c r="E82" s="133"/>
      <c r="F82" s="134"/>
      <c r="G82" s="136"/>
      <c r="H82" s="133"/>
      <c r="I82" s="134"/>
      <c r="J82" s="136"/>
      <c r="K82" s="137"/>
      <c r="L82" s="68"/>
      <c r="M82" s="44"/>
      <c r="N82" s="44"/>
      <c r="O82" s="44"/>
      <c r="P82" s="6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>
        <v>46366.0</v>
      </c>
      <c r="B83" s="133"/>
      <c r="C83" s="138"/>
      <c r="D83" s="139"/>
      <c r="E83" s="133"/>
      <c r="F83" s="138"/>
      <c r="G83" s="136"/>
      <c r="H83" s="133"/>
      <c r="I83" s="138"/>
      <c r="J83" s="136"/>
      <c r="K83" s="137"/>
      <c r="L83" s="68"/>
      <c r="M83" s="44"/>
      <c r="N83" s="44"/>
      <c r="O83" s="44"/>
      <c r="P83" s="6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>
        <v>46367.0</v>
      </c>
      <c r="B84" s="140"/>
      <c r="C84" s="141"/>
      <c r="D84" s="70"/>
      <c r="E84" s="140"/>
      <c r="F84" s="141"/>
      <c r="G84" s="70"/>
      <c r="H84" s="140"/>
      <c r="I84" s="141"/>
      <c r="J84" s="70"/>
      <c r="K84" s="142"/>
      <c r="L84" s="88"/>
      <c r="M84" s="44"/>
      <c r="N84" s="44"/>
      <c r="O84" s="44"/>
      <c r="P84" s="6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9"/>
      <c r="B85" s="81"/>
      <c r="C85" s="81"/>
      <c r="D85" s="79"/>
      <c r="E85" s="81"/>
      <c r="F85" s="81"/>
      <c r="G85" s="79"/>
      <c r="H85" s="81"/>
      <c r="I85" s="81"/>
      <c r="J85" s="79"/>
      <c r="K85" s="79"/>
      <c r="L85" s="88"/>
      <c r="M85" s="44"/>
      <c r="N85" s="44"/>
      <c r="O85" s="44"/>
      <c r="P85" s="6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4"/>
      <c r="B86" s="86"/>
      <c r="C86" s="86"/>
      <c r="D86" s="87"/>
      <c r="E86" s="86"/>
      <c r="F86" s="86"/>
      <c r="G86" s="87"/>
      <c r="H86" s="86"/>
      <c r="I86" s="86"/>
      <c r="J86" s="87"/>
      <c r="K86" s="87"/>
      <c r="L86" s="93"/>
      <c r="M86" s="94"/>
      <c r="N86" s="94"/>
      <c r="O86" s="92"/>
      <c r="P86" s="95">
        <f>SUMPRODUCT(VALUE(K80:K84))-(SUM(L80:L84))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>
        <v>46370.0</v>
      </c>
      <c r="B87" s="23"/>
      <c r="C87" s="26"/>
      <c r="D87" s="30"/>
      <c r="E87" s="23"/>
      <c r="F87" s="26"/>
      <c r="G87" s="33"/>
      <c r="H87" s="23"/>
      <c r="I87" s="26"/>
      <c r="J87" s="33"/>
      <c r="K87" s="132"/>
      <c r="L87" s="108"/>
      <c r="M87" s="39"/>
      <c r="N87" s="39"/>
      <c r="O87" s="38"/>
      <c r="P87" s="9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>
        <v>46371.0</v>
      </c>
      <c r="B88" s="133"/>
      <c r="C88" s="134"/>
      <c r="D88" s="135"/>
      <c r="E88" s="133"/>
      <c r="F88" s="134"/>
      <c r="G88" s="136"/>
      <c r="H88" s="133"/>
      <c r="I88" s="134"/>
      <c r="J88" s="136"/>
      <c r="K88" s="137"/>
      <c r="L88" s="68"/>
      <c r="M88" s="44"/>
      <c r="N88" s="44"/>
      <c r="O88" s="44"/>
      <c r="P88" s="6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>
        <v>46372.0</v>
      </c>
      <c r="B89" s="133"/>
      <c r="C89" s="134"/>
      <c r="D89" s="135"/>
      <c r="E89" s="133"/>
      <c r="F89" s="134"/>
      <c r="G89" s="136"/>
      <c r="H89" s="133"/>
      <c r="I89" s="134"/>
      <c r="J89" s="136"/>
      <c r="K89" s="137"/>
      <c r="L89" s="68"/>
      <c r="M89" s="44"/>
      <c r="N89" s="44"/>
      <c r="O89" s="44"/>
      <c r="P89" s="6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5">
        <v>46373.0</v>
      </c>
      <c r="B90" s="133"/>
      <c r="C90" s="138"/>
      <c r="D90" s="139"/>
      <c r="E90" s="133"/>
      <c r="F90" s="138"/>
      <c r="G90" s="136"/>
      <c r="H90" s="133"/>
      <c r="I90" s="138"/>
      <c r="J90" s="136"/>
      <c r="K90" s="137"/>
      <c r="L90" s="68"/>
      <c r="M90" s="44"/>
      <c r="N90" s="44"/>
      <c r="O90" s="44"/>
      <c r="P90" s="6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5">
        <v>46374.0</v>
      </c>
      <c r="B91" s="140"/>
      <c r="C91" s="141"/>
      <c r="D91" s="70"/>
      <c r="E91" s="140"/>
      <c r="F91" s="141"/>
      <c r="G91" s="70"/>
      <c r="H91" s="140"/>
      <c r="I91" s="141"/>
      <c r="J91" s="70"/>
      <c r="K91" s="142"/>
      <c r="L91" s="88"/>
      <c r="M91" s="44"/>
      <c r="N91" s="44"/>
      <c r="O91" s="44"/>
      <c r="P91" s="6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79"/>
      <c r="B92" s="81"/>
      <c r="C92" s="81"/>
      <c r="D92" s="79"/>
      <c r="E92" s="81"/>
      <c r="F92" s="81"/>
      <c r="G92" s="79"/>
      <c r="H92" s="81"/>
      <c r="I92" s="81"/>
      <c r="J92" s="79"/>
      <c r="K92" s="79"/>
      <c r="L92" s="88"/>
      <c r="M92" s="44"/>
      <c r="N92" s="44"/>
      <c r="O92" s="44"/>
      <c r="P92" s="6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4"/>
      <c r="B93" s="86"/>
      <c r="C93" s="86"/>
      <c r="D93" s="87"/>
      <c r="E93" s="86"/>
      <c r="F93" s="86"/>
      <c r="G93" s="87"/>
      <c r="H93" s="86"/>
      <c r="I93" s="86"/>
      <c r="J93" s="87"/>
      <c r="K93" s="87"/>
      <c r="L93" s="93"/>
      <c r="M93" s="94"/>
      <c r="N93" s="94"/>
      <c r="O93" s="92"/>
      <c r="P93" s="95">
        <f>SUMPRODUCT(VALUE(K87:K91))-(SUM(L87:L91))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5">
        <v>46377.0</v>
      </c>
      <c r="B94" s="23"/>
      <c r="C94" s="26"/>
      <c r="D94" s="30"/>
      <c r="E94" s="23"/>
      <c r="F94" s="26"/>
      <c r="G94" s="33"/>
      <c r="H94" s="23"/>
      <c r="I94" s="26"/>
      <c r="J94" s="33"/>
      <c r="K94" s="132"/>
      <c r="L94" s="108"/>
      <c r="M94" s="39"/>
      <c r="N94" s="39"/>
      <c r="O94" s="38"/>
      <c r="P94" s="9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5">
        <v>46378.0</v>
      </c>
      <c r="B95" s="133"/>
      <c r="C95" s="134"/>
      <c r="D95" s="135"/>
      <c r="E95" s="133"/>
      <c r="F95" s="134"/>
      <c r="G95" s="136"/>
      <c r="H95" s="133"/>
      <c r="I95" s="134"/>
      <c r="J95" s="136"/>
      <c r="K95" s="137"/>
      <c r="L95" s="68"/>
      <c r="M95" s="44"/>
      <c r="N95" s="44"/>
      <c r="O95" s="44"/>
      <c r="P95" s="6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5">
        <v>46379.0</v>
      </c>
      <c r="B96" s="133"/>
      <c r="C96" s="134"/>
      <c r="D96" s="135"/>
      <c r="E96" s="133"/>
      <c r="F96" s="134"/>
      <c r="G96" s="136"/>
      <c r="H96" s="133"/>
      <c r="I96" s="134"/>
      <c r="J96" s="136"/>
      <c r="K96" s="137"/>
      <c r="L96" s="68"/>
      <c r="M96" s="44"/>
      <c r="N96" s="44"/>
      <c r="O96" s="44"/>
      <c r="P96" s="6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5">
        <v>46380.0</v>
      </c>
      <c r="B97" s="133"/>
      <c r="C97" s="138"/>
      <c r="D97" s="139"/>
      <c r="E97" s="133"/>
      <c r="F97" s="138"/>
      <c r="G97" s="136"/>
      <c r="H97" s="133"/>
      <c r="I97" s="138"/>
      <c r="J97" s="136"/>
      <c r="K97" s="137"/>
      <c r="L97" s="68"/>
      <c r="M97" s="44"/>
      <c r="N97" s="44"/>
      <c r="O97" s="44"/>
      <c r="P97" s="6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5">
        <v>46381.0</v>
      </c>
      <c r="B98" s="140"/>
      <c r="C98" s="141"/>
      <c r="D98" s="70"/>
      <c r="E98" s="140"/>
      <c r="F98" s="141"/>
      <c r="G98" s="70"/>
      <c r="H98" s="140"/>
      <c r="I98" s="141"/>
      <c r="J98" s="70"/>
      <c r="K98" s="142"/>
      <c r="L98" s="88"/>
      <c r="M98" s="44"/>
      <c r="N98" s="44"/>
      <c r="O98" s="44"/>
      <c r="P98" s="6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9"/>
      <c r="B99" s="81"/>
      <c r="C99" s="81"/>
      <c r="D99" s="79"/>
      <c r="E99" s="81"/>
      <c r="F99" s="81"/>
      <c r="G99" s="79"/>
      <c r="H99" s="81"/>
      <c r="I99" s="81"/>
      <c r="J99" s="79"/>
      <c r="K99" s="79"/>
      <c r="L99" s="88"/>
      <c r="M99" s="44"/>
      <c r="N99" s="44"/>
      <c r="O99" s="44"/>
      <c r="P99" s="6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4"/>
      <c r="B100" s="86"/>
      <c r="C100" s="86"/>
      <c r="D100" s="87"/>
      <c r="E100" s="86"/>
      <c r="F100" s="86"/>
      <c r="G100" s="87"/>
      <c r="H100" s="86"/>
      <c r="I100" s="86"/>
      <c r="J100" s="87"/>
      <c r="K100" s="87"/>
      <c r="L100" s="93"/>
      <c r="M100" s="94"/>
      <c r="N100" s="94"/>
      <c r="O100" s="92"/>
      <c r="P100" s="95">
        <f>SUMPRODUCT(VALUE(K94:K98))-(SUM(L94:L98))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5">
        <v>46384.0</v>
      </c>
      <c r="B101" s="23"/>
      <c r="C101" s="26"/>
      <c r="D101" s="30"/>
      <c r="E101" s="23"/>
      <c r="F101" s="26"/>
      <c r="G101" s="33"/>
      <c r="H101" s="23"/>
      <c r="I101" s="26"/>
      <c r="J101" s="33"/>
      <c r="K101" s="132"/>
      <c r="L101" s="108"/>
      <c r="M101" s="39"/>
      <c r="N101" s="39"/>
      <c r="O101" s="38"/>
      <c r="P101" s="9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5">
        <v>46385.0</v>
      </c>
      <c r="B102" s="133"/>
      <c r="C102" s="134"/>
      <c r="D102" s="135"/>
      <c r="E102" s="133"/>
      <c r="F102" s="134"/>
      <c r="G102" s="136"/>
      <c r="H102" s="133"/>
      <c r="I102" s="134"/>
      <c r="J102" s="136"/>
      <c r="K102" s="137"/>
      <c r="L102" s="68"/>
      <c r="M102" s="44"/>
      <c r="N102" s="44"/>
      <c r="O102" s="44"/>
      <c r="P102" s="6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5">
        <v>46386.0</v>
      </c>
      <c r="B103" s="133"/>
      <c r="C103" s="134"/>
      <c r="D103" s="135"/>
      <c r="E103" s="133"/>
      <c r="F103" s="134"/>
      <c r="G103" s="136"/>
      <c r="H103" s="133"/>
      <c r="I103" s="134"/>
      <c r="J103" s="136"/>
      <c r="K103" s="137"/>
      <c r="L103" s="68"/>
      <c r="M103" s="44"/>
      <c r="N103" s="44"/>
      <c r="O103" s="44"/>
      <c r="P103" s="6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5">
        <v>46387.0</v>
      </c>
      <c r="B104" s="133"/>
      <c r="C104" s="138"/>
      <c r="D104" s="139"/>
      <c r="E104" s="133"/>
      <c r="F104" s="138"/>
      <c r="G104" s="136"/>
      <c r="H104" s="133"/>
      <c r="I104" s="138"/>
      <c r="J104" s="136"/>
      <c r="K104" s="137"/>
      <c r="L104" s="68"/>
      <c r="M104" s="44"/>
      <c r="N104" s="44"/>
      <c r="O104" s="44"/>
      <c r="P104" s="6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5">
        <v>46388.0</v>
      </c>
      <c r="B105" s="140"/>
      <c r="C105" s="141"/>
      <c r="D105" s="70"/>
      <c r="E105" s="140"/>
      <c r="F105" s="141"/>
      <c r="G105" s="70"/>
      <c r="H105" s="140"/>
      <c r="I105" s="141"/>
      <c r="J105" s="70"/>
      <c r="K105" s="142"/>
      <c r="L105" s="88"/>
      <c r="M105" s="44"/>
      <c r="N105" s="44"/>
      <c r="O105" s="44"/>
      <c r="P105" s="6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9"/>
      <c r="B106" s="81"/>
      <c r="C106" s="81"/>
      <c r="D106" s="79"/>
      <c r="E106" s="81"/>
      <c r="F106" s="81"/>
      <c r="G106" s="79"/>
      <c r="H106" s="81"/>
      <c r="I106" s="81"/>
      <c r="J106" s="79"/>
      <c r="K106" s="79"/>
      <c r="L106" s="88"/>
      <c r="M106" s="44"/>
      <c r="N106" s="44"/>
      <c r="O106" s="44"/>
      <c r="P106" s="6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4"/>
      <c r="B107" s="86"/>
      <c r="C107" s="86"/>
      <c r="D107" s="87"/>
      <c r="E107" s="86"/>
      <c r="F107" s="86"/>
      <c r="G107" s="87"/>
      <c r="H107" s="86"/>
      <c r="I107" s="86"/>
      <c r="J107" s="87"/>
      <c r="K107" s="87"/>
      <c r="L107" s="93"/>
      <c r="M107" s="94"/>
      <c r="N107" s="94"/>
      <c r="O107" s="92"/>
      <c r="P107" s="95">
        <f>SUMPRODUCT(VALUE(K101:K105))-(SUM(L101:L105))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5">
        <v>46391.0</v>
      </c>
      <c r="B108" s="23"/>
      <c r="C108" s="26"/>
      <c r="D108" s="30"/>
      <c r="E108" s="23"/>
      <c r="F108" s="26"/>
      <c r="G108" s="33"/>
      <c r="H108" s="23"/>
      <c r="I108" s="26"/>
      <c r="J108" s="33"/>
      <c r="K108" s="132"/>
      <c r="L108" s="108"/>
      <c r="M108" s="39"/>
      <c r="N108" s="39"/>
      <c r="O108" s="38"/>
      <c r="P108" s="98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5">
        <v>46392.0</v>
      </c>
      <c r="B109" s="133"/>
      <c r="C109" s="134"/>
      <c r="D109" s="135"/>
      <c r="E109" s="133"/>
      <c r="F109" s="134"/>
      <c r="G109" s="136"/>
      <c r="H109" s="133"/>
      <c r="I109" s="134"/>
      <c r="J109" s="136"/>
      <c r="K109" s="137"/>
      <c r="L109" s="68"/>
      <c r="M109" s="44"/>
      <c r="N109" s="44"/>
      <c r="O109" s="44"/>
      <c r="P109" s="6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5">
        <v>46393.0</v>
      </c>
      <c r="B110" s="133"/>
      <c r="C110" s="134"/>
      <c r="D110" s="135"/>
      <c r="E110" s="133"/>
      <c r="F110" s="134"/>
      <c r="G110" s="136"/>
      <c r="H110" s="133"/>
      <c r="I110" s="134"/>
      <c r="J110" s="136"/>
      <c r="K110" s="137"/>
      <c r="L110" s="68"/>
      <c r="M110" s="44"/>
      <c r="N110" s="44"/>
      <c r="O110" s="44"/>
      <c r="P110" s="6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5">
        <v>46394.0</v>
      </c>
      <c r="B111" s="133"/>
      <c r="C111" s="138"/>
      <c r="D111" s="139"/>
      <c r="E111" s="133"/>
      <c r="F111" s="138"/>
      <c r="G111" s="136"/>
      <c r="H111" s="133"/>
      <c r="I111" s="138"/>
      <c r="J111" s="136"/>
      <c r="K111" s="137"/>
      <c r="L111" s="68"/>
      <c r="M111" s="44"/>
      <c r="N111" s="44"/>
      <c r="O111" s="44"/>
      <c r="P111" s="6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5">
        <v>46395.0</v>
      </c>
      <c r="B112" s="140"/>
      <c r="C112" s="141"/>
      <c r="D112" s="70"/>
      <c r="E112" s="140"/>
      <c r="F112" s="141"/>
      <c r="G112" s="70"/>
      <c r="H112" s="140"/>
      <c r="I112" s="141"/>
      <c r="J112" s="70"/>
      <c r="K112" s="142"/>
      <c r="L112" s="88"/>
      <c r="M112" s="44"/>
      <c r="N112" s="44"/>
      <c r="O112" s="44"/>
      <c r="P112" s="6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79"/>
      <c r="B113" s="81"/>
      <c r="C113" s="81"/>
      <c r="D113" s="79"/>
      <c r="E113" s="81"/>
      <c r="F113" s="81"/>
      <c r="G113" s="79"/>
      <c r="H113" s="81"/>
      <c r="I113" s="81"/>
      <c r="J113" s="79"/>
      <c r="K113" s="79"/>
      <c r="L113" s="88"/>
      <c r="M113" s="44"/>
      <c r="N113" s="44"/>
      <c r="O113" s="44"/>
      <c r="P113" s="6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4"/>
      <c r="B114" s="86"/>
      <c r="C114" s="86"/>
      <c r="D114" s="87"/>
      <c r="E114" s="86"/>
      <c r="F114" s="86"/>
      <c r="G114" s="87"/>
      <c r="H114" s="86"/>
      <c r="I114" s="86"/>
      <c r="J114" s="87"/>
      <c r="K114" s="87"/>
      <c r="L114" s="93"/>
      <c r="M114" s="94"/>
      <c r="N114" s="94"/>
      <c r="O114" s="92"/>
      <c r="P114" s="95">
        <f>SUMPRODUCT(VALUE(K108:K112))-(SUM(L108:L112))</f>
        <v>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5">
        <v>46398.0</v>
      </c>
      <c r="B115" s="23"/>
      <c r="C115" s="26"/>
      <c r="D115" s="30"/>
      <c r="E115" s="23"/>
      <c r="F115" s="26"/>
      <c r="G115" s="33"/>
      <c r="H115" s="23"/>
      <c r="I115" s="26"/>
      <c r="J115" s="33"/>
      <c r="K115" s="132"/>
      <c r="L115" s="108"/>
      <c r="M115" s="39"/>
      <c r="N115" s="39"/>
      <c r="O115" s="38"/>
      <c r="P115" s="9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5">
        <v>46399.0</v>
      </c>
      <c r="B116" s="133"/>
      <c r="C116" s="134"/>
      <c r="D116" s="135"/>
      <c r="E116" s="133"/>
      <c r="F116" s="134"/>
      <c r="G116" s="136"/>
      <c r="H116" s="133"/>
      <c r="I116" s="134"/>
      <c r="J116" s="136"/>
      <c r="K116" s="137"/>
      <c r="L116" s="68"/>
      <c r="M116" s="44"/>
      <c r="N116" s="44"/>
      <c r="O116" s="44"/>
      <c r="P116" s="6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5">
        <v>46400.0</v>
      </c>
      <c r="B117" s="133"/>
      <c r="C117" s="134"/>
      <c r="D117" s="135"/>
      <c r="E117" s="133"/>
      <c r="F117" s="134"/>
      <c r="G117" s="136"/>
      <c r="H117" s="133"/>
      <c r="I117" s="134"/>
      <c r="J117" s="136"/>
      <c r="K117" s="137"/>
      <c r="L117" s="68"/>
      <c r="M117" s="44"/>
      <c r="N117" s="44"/>
      <c r="O117" s="44"/>
      <c r="P117" s="6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5">
        <v>46401.0</v>
      </c>
      <c r="B118" s="133"/>
      <c r="C118" s="138"/>
      <c r="D118" s="139"/>
      <c r="E118" s="133"/>
      <c r="F118" s="138"/>
      <c r="G118" s="136"/>
      <c r="H118" s="133"/>
      <c r="I118" s="138"/>
      <c r="J118" s="136"/>
      <c r="K118" s="137"/>
      <c r="L118" s="68"/>
      <c r="M118" s="44"/>
      <c r="N118" s="44"/>
      <c r="O118" s="44"/>
      <c r="P118" s="6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5">
        <v>46402.0</v>
      </c>
      <c r="B119" s="140"/>
      <c r="C119" s="141"/>
      <c r="D119" s="70"/>
      <c r="E119" s="140"/>
      <c r="F119" s="141"/>
      <c r="G119" s="70"/>
      <c r="H119" s="140"/>
      <c r="I119" s="141"/>
      <c r="J119" s="70"/>
      <c r="K119" s="142"/>
      <c r="L119" s="88"/>
      <c r="M119" s="44"/>
      <c r="N119" s="44"/>
      <c r="O119" s="44"/>
      <c r="P119" s="6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79"/>
      <c r="B120" s="81"/>
      <c r="C120" s="81"/>
      <c r="D120" s="79"/>
      <c r="E120" s="81"/>
      <c r="F120" s="81"/>
      <c r="G120" s="79"/>
      <c r="H120" s="81"/>
      <c r="I120" s="81"/>
      <c r="J120" s="79"/>
      <c r="K120" s="79"/>
      <c r="L120" s="88"/>
      <c r="M120" s="44"/>
      <c r="N120" s="44"/>
      <c r="O120" s="44"/>
      <c r="P120" s="6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4"/>
      <c r="B121" s="86"/>
      <c r="C121" s="86"/>
      <c r="D121" s="87"/>
      <c r="E121" s="86"/>
      <c r="F121" s="86"/>
      <c r="G121" s="87"/>
      <c r="H121" s="86"/>
      <c r="I121" s="86"/>
      <c r="J121" s="87"/>
      <c r="K121" s="87"/>
      <c r="L121" s="93"/>
      <c r="M121" s="94"/>
      <c r="N121" s="94"/>
      <c r="O121" s="92"/>
      <c r="P121" s="95">
        <f>SUMPRODUCT(VALUE(K115:K119))-(SUM(L115:L119))</f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5">
        <v>46405.0</v>
      </c>
      <c r="B122" s="23"/>
      <c r="C122" s="26"/>
      <c r="D122" s="30"/>
      <c r="E122" s="23"/>
      <c r="F122" s="26"/>
      <c r="G122" s="33"/>
      <c r="H122" s="23"/>
      <c r="I122" s="26"/>
      <c r="J122" s="33"/>
      <c r="K122" s="132"/>
      <c r="L122" s="108"/>
      <c r="M122" s="39"/>
      <c r="N122" s="39"/>
      <c r="O122" s="38"/>
      <c r="P122" s="98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5">
        <v>46406.0</v>
      </c>
      <c r="B123" s="133"/>
      <c r="C123" s="134"/>
      <c r="D123" s="135"/>
      <c r="E123" s="133"/>
      <c r="F123" s="134"/>
      <c r="G123" s="136"/>
      <c r="H123" s="133"/>
      <c r="I123" s="134"/>
      <c r="J123" s="136"/>
      <c r="K123" s="137"/>
      <c r="L123" s="68"/>
      <c r="M123" s="44"/>
      <c r="N123" s="44"/>
      <c r="O123" s="44"/>
      <c r="P123" s="6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5">
        <v>46407.0</v>
      </c>
      <c r="B124" s="133"/>
      <c r="C124" s="134"/>
      <c r="D124" s="135"/>
      <c r="E124" s="133"/>
      <c r="F124" s="134"/>
      <c r="G124" s="136"/>
      <c r="H124" s="133"/>
      <c r="I124" s="134"/>
      <c r="J124" s="136"/>
      <c r="K124" s="137"/>
      <c r="L124" s="68"/>
      <c r="M124" s="44"/>
      <c r="N124" s="44"/>
      <c r="O124" s="44"/>
      <c r="P124" s="6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5">
        <v>46408.0</v>
      </c>
      <c r="B125" s="133"/>
      <c r="C125" s="138"/>
      <c r="D125" s="139"/>
      <c r="E125" s="133"/>
      <c r="F125" s="138"/>
      <c r="G125" s="136"/>
      <c r="H125" s="133"/>
      <c r="I125" s="138"/>
      <c r="J125" s="136"/>
      <c r="K125" s="137"/>
      <c r="L125" s="68"/>
      <c r="M125" s="44"/>
      <c r="N125" s="44"/>
      <c r="O125" s="44"/>
      <c r="P125" s="6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5">
        <v>46409.0</v>
      </c>
      <c r="B126" s="140"/>
      <c r="C126" s="141"/>
      <c r="D126" s="70"/>
      <c r="E126" s="140"/>
      <c r="F126" s="141"/>
      <c r="G126" s="70"/>
      <c r="H126" s="140"/>
      <c r="I126" s="141"/>
      <c r="J126" s="70"/>
      <c r="K126" s="142"/>
      <c r="L126" s="88"/>
      <c r="M126" s="44"/>
      <c r="N126" s="44"/>
      <c r="O126" s="44"/>
      <c r="P126" s="6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79"/>
      <c r="B127" s="81"/>
      <c r="C127" s="81"/>
      <c r="D127" s="79"/>
      <c r="E127" s="81"/>
      <c r="F127" s="81"/>
      <c r="G127" s="79"/>
      <c r="H127" s="81"/>
      <c r="I127" s="81"/>
      <c r="J127" s="79"/>
      <c r="K127" s="79"/>
      <c r="L127" s="88"/>
      <c r="M127" s="44"/>
      <c r="N127" s="44"/>
      <c r="O127" s="44"/>
      <c r="P127" s="6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4"/>
      <c r="B128" s="86"/>
      <c r="C128" s="86"/>
      <c r="D128" s="87"/>
      <c r="E128" s="86"/>
      <c r="F128" s="86"/>
      <c r="G128" s="87"/>
      <c r="H128" s="86"/>
      <c r="I128" s="86"/>
      <c r="J128" s="87"/>
      <c r="K128" s="87"/>
      <c r="L128" s="93"/>
      <c r="M128" s="94"/>
      <c r="N128" s="94"/>
      <c r="O128" s="92"/>
      <c r="P128" s="95">
        <f>SUMPRODUCT(VALUE(K122:K126))-(SUM(L122:L126))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5">
        <v>46412.0</v>
      </c>
      <c r="B129" s="23"/>
      <c r="C129" s="26"/>
      <c r="D129" s="30"/>
      <c r="E129" s="23"/>
      <c r="F129" s="26"/>
      <c r="G129" s="33"/>
      <c r="H129" s="23"/>
      <c r="I129" s="26"/>
      <c r="J129" s="33"/>
      <c r="K129" s="132"/>
      <c r="L129" s="108"/>
      <c r="M129" s="39"/>
      <c r="N129" s="39"/>
      <c r="O129" s="38"/>
      <c r="P129" s="98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5">
        <v>46413.0</v>
      </c>
      <c r="B130" s="133"/>
      <c r="C130" s="134"/>
      <c r="D130" s="135"/>
      <c r="E130" s="133"/>
      <c r="F130" s="134"/>
      <c r="G130" s="136"/>
      <c r="H130" s="133"/>
      <c r="I130" s="134"/>
      <c r="J130" s="136"/>
      <c r="K130" s="137"/>
      <c r="L130" s="68"/>
      <c r="M130" s="44"/>
      <c r="N130" s="44"/>
      <c r="O130" s="44"/>
      <c r="P130" s="6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5">
        <v>46414.0</v>
      </c>
      <c r="B131" s="133"/>
      <c r="C131" s="134"/>
      <c r="D131" s="135"/>
      <c r="E131" s="133"/>
      <c r="F131" s="134"/>
      <c r="G131" s="136"/>
      <c r="H131" s="133"/>
      <c r="I131" s="134"/>
      <c r="J131" s="136"/>
      <c r="K131" s="137"/>
      <c r="L131" s="68"/>
      <c r="M131" s="44"/>
      <c r="N131" s="44"/>
      <c r="O131" s="44"/>
      <c r="P131" s="6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5">
        <v>46415.0</v>
      </c>
      <c r="B132" s="133"/>
      <c r="C132" s="138"/>
      <c r="D132" s="139"/>
      <c r="E132" s="133"/>
      <c r="F132" s="138"/>
      <c r="G132" s="136"/>
      <c r="H132" s="133"/>
      <c r="I132" s="138"/>
      <c r="J132" s="136"/>
      <c r="K132" s="137"/>
      <c r="L132" s="68"/>
      <c r="M132" s="44"/>
      <c r="N132" s="44"/>
      <c r="O132" s="44"/>
      <c r="P132" s="6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5">
        <v>46416.0</v>
      </c>
      <c r="B133" s="140"/>
      <c r="C133" s="141"/>
      <c r="D133" s="70"/>
      <c r="E133" s="140"/>
      <c r="F133" s="141"/>
      <c r="G133" s="70"/>
      <c r="H133" s="140"/>
      <c r="I133" s="141"/>
      <c r="J133" s="70"/>
      <c r="K133" s="142"/>
      <c r="L133" s="88"/>
      <c r="M133" s="44"/>
      <c r="N133" s="44"/>
      <c r="O133" s="44"/>
      <c r="P133" s="6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79"/>
      <c r="B134" s="81"/>
      <c r="C134" s="81"/>
      <c r="D134" s="79"/>
      <c r="E134" s="81"/>
      <c r="F134" s="81"/>
      <c r="G134" s="79"/>
      <c r="H134" s="81"/>
      <c r="I134" s="81"/>
      <c r="J134" s="79"/>
      <c r="K134" s="79"/>
      <c r="L134" s="88"/>
      <c r="M134" s="44"/>
      <c r="N134" s="44"/>
      <c r="O134" s="44"/>
      <c r="P134" s="6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7"/>
      <c r="B135" s="86"/>
      <c r="C135" s="86"/>
      <c r="D135" s="87"/>
      <c r="E135" s="86"/>
      <c r="F135" s="86"/>
      <c r="G135" s="87"/>
      <c r="H135" s="86"/>
      <c r="I135" s="86"/>
      <c r="J135" s="87"/>
      <c r="K135" s="87"/>
      <c r="L135" s="93"/>
      <c r="M135" s="94"/>
      <c r="N135" s="94"/>
      <c r="O135" s="92"/>
      <c r="P135" s="95">
        <f>SUMPRODUCT(VALUE(K129:K133))-(SUM(L129:L133))</f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5">
        <v>46419.0</v>
      </c>
      <c r="B136" s="23"/>
      <c r="C136" s="26"/>
      <c r="D136" s="30"/>
      <c r="E136" s="23"/>
      <c r="F136" s="26"/>
      <c r="G136" s="33"/>
      <c r="H136" s="23"/>
      <c r="I136" s="26"/>
      <c r="J136" s="33"/>
      <c r="K136" s="132"/>
      <c r="L136" s="108"/>
      <c r="M136" s="39"/>
      <c r="N136" s="39"/>
      <c r="O136" s="38"/>
      <c r="P136" s="98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5">
        <v>46420.0</v>
      </c>
      <c r="B137" s="133"/>
      <c r="C137" s="134"/>
      <c r="D137" s="135"/>
      <c r="E137" s="133"/>
      <c r="F137" s="134"/>
      <c r="G137" s="136"/>
      <c r="H137" s="133"/>
      <c r="I137" s="134"/>
      <c r="J137" s="136"/>
      <c r="K137" s="137"/>
      <c r="L137" s="68"/>
      <c r="M137" s="44"/>
      <c r="N137" s="44"/>
      <c r="O137" s="44"/>
      <c r="P137" s="6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5">
        <v>46421.0</v>
      </c>
      <c r="B138" s="133"/>
      <c r="C138" s="134"/>
      <c r="D138" s="135"/>
      <c r="E138" s="133"/>
      <c r="F138" s="134"/>
      <c r="G138" s="136"/>
      <c r="H138" s="133"/>
      <c r="I138" s="134"/>
      <c r="J138" s="136"/>
      <c r="K138" s="137"/>
      <c r="L138" s="68"/>
      <c r="M138" s="44"/>
      <c r="N138" s="44"/>
      <c r="O138" s="44"/>
      <c r="P138" s="6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5">
        <v>46422.0</v>
      </c>
      <c r="B139" s="133"/>
      <c r="C139" s="138"/>
      <c r="D139" s="139"/>
      <c r="E139" s="133"/>
      <c r="F139" s="138"/>
      <c r="G139" s="136"/>
      <c r="H139" s="133"/>
      <c r="I139" s="138"/>
      <c r="J139" s="136"/>
      <c r="K139" s="137"/>
      <c r="L139" s="68"/>
      <c r="M139" s="44"/>
      <c r="N139" s="44"/>
      <c r="O139" s="44"/>
      <c r="P139" s="6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5">
        <v>46423.0</v>
      </c>
      <c r="B140" s="140"/>
      <c r="C140" s="141"/>
      <c r="D140" s="70"/>
      <c r="E140" s="140"/>
      <c r="F140" s="141"/>
      <c r="G140" s="70"/>
      <c r="H140" s="140"/>
      <c r="I140" s="141"/>
      <c r="J140" s="70"/>
      <c r="K140" s="142"/>
      <c r="L140" s="88"/>
      <c r="M140" s="44"/>
      <c r="N140" s="44"/>
      <c r="O140" s="44"/>
      <c r="P140" s="6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79"/>
      <c r="B141" s="81"/>
      <c r="C141" s="81"/>
      <c r="D141" s="79"/>
      <c r="E141" s="81"/>
      <c r="F141" s="81"/>
      <c r="G141" s="79"/>
      <c r="H141" s="81"/>
      <c r="I141" s="81"/>
      <c r="J141" s="79"/>
      <c r="K141" s="79"/>
      <c r="L141" s="88"/>
      <c r="M141" s="44"/>
      <c r="N141" s="44"/>
      <c r="O141" s="44"/>
      <c r="P141" s="6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4"/>
      <c r="B142" s="86"/>
      <c r="C142" s="86"/>
      <c r="D142" s="87"/>
      <c r="E142" s="86"/>
      <c r="F142" s="86"/>
      <c r="G142" s="87"/>
      <c r="H142" s="86"/>
      <c r="I142" s="86"/>
      <c r="J142" s="87"/>
      <c r="K142" s="87"/>
      <c r="L142" s="93"/>
      <c r="M142" s="94"/>
      <c r="N142" s="94"/>
      <c r="O142" s="92"/>
      <c r="P142" s="95">
        <f>SUMPRODUCT(VALUE(K136:K140))-(SUM(L136:L140))</f>
        <v>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5">
        <v>46426.0</v>
      </c>
      <c r="B143" s="23"/>
      <c r="C143" s="26"/>
      <c r="D143" s="30"/>
      <c r="E143" s="23"/>
      <c r="F143" s="26"/>
      <c r="G143" s="33"/>
      <c r="H143" s="23"/>
      <c r="I143" s="26"/>
      <c r="J143" s="33"/>
      <c r="K143" s="132"/>
      <c r="L143" s="108"/>
      <c r="M143" s="39"/>
      <c r="N143" s="39"/>
      <c r="O143" s="38"/>
      <c r="P143" s="98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5">
        <v>46427.0</v>
      </c>
      <c r="B144" s="133"/>
      <c r="C144" s="134"/>
      <c r="D144" s="135"/>
      <c r="E144" s="133"/>
      <c r="F144" s="134"/>
      <c r="G144" s="136"/>
      <c r="H144" s="133"/>
      <c r="I144" s="134"/>
      <c r="J144" s="136"/>
      <c r="K144" s="137"/>
      <c r="L144" s="68"/>
      <c r="M144" s="44"/>
      <c r="N144" s="44"/>
      <c r="O144" s="44"/>
      <c r="P144" s="6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5">
        <v>46428.0</v>
      </c>
      <c r="B145" s="133"/>
      <c r="C145" s="134"/>
      <c r="D145" s="135"/>
      <c r="E145" s="133"/>
      <c r="F145" s="134"/>
      <c r="G145" s="136"/>
      <c r="H145" s="133"/>
      <c r="I145" s="134"/>
      <c r="J145" s="136"/>
      <c r="K145" s="137"/>
      <c r="L145" s="68"/>
      <c r="M145" s="44"/>
      <c r="N145" s="44"/>
      <c r="O145" s="44"/>
      <c r="P145" s="6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5">
        <v>46429.0</v>
      </c>
      <c r="B146" s="133"/>
      <c r="C146" s="138"/>
      <c r="D146" s="139"/>
      <c r="E146" s="133"/>
      <c r="F146" s="138"/>
      <c r="G146" s="136"/>
      <c r="H146" s="133"/>
      <c r="I146" s="138"/>
      <c r="J146" s="136"/>
      <c r="K146" s="137"/>
      <c r="L146" s="68"/>
      <c r="M146" s="44"/>
      <c r="N146" s="44"/>
      <c r="O146" s="44"/>
      <c r="P146" s="6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5">
        <v>46430.0</v>
      </c>
      <c r="B147" s="140"/>
      <c r="C147" s="141"/>
      <c r="D147" s="70"/>
      <c r="E147" s="140"/>
      <c r="F147" s="141"/>
      <c r="G147" s="70"/>
      <c r="H147" s="140"/>
      <c r="I147" s="141"/>
      <c r="J147" s="70"/>
      <c r="K147" s="142"/>
      <c r="L147" s="88"/>
      <c r="M147" s="44"/>
      <c r="N147" s="44"/>
      <c r="O147" s="44"/>
      <c r="P147" s="6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79"/>
      <c r="B148" s="81"/>
      <c r="C148" s="81"/>
      <c r="D148" s="79"/>
      <c r="E148" s="81"/>
      <c r="F148" s="81"/>
      <c r="G148" s="79"/>
      <c r="H148" s="81"/>
      <c r="I148" s="81"/>
      <c r="J148" s="79"/>
      <c r="K148" s="79"/>
      <c r="L148" s="88"/>
      <c r="M148" s="44"/>
      <c r="N148" s="44"/>
      <c r="O148" s="44"/>
      <c r="P148" s="6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4"/>
      <c r="B149" s="86"/>
      <c r="C149" s="86"/>
      <c r="D149" s="87"/>
      <c r="E149" s="86"/>
      <c r="F149" s="86"/>
      <c r="G149" s="87"/>
      <c r="H149" s="86"/>
      <c r="I149" s="86"/>
      <c r="J149" s="87"/>
      <c r="K149" s="87"/>
      <c r="L149" s="93"/>
      <c r="M149" s="94"/>
      <c r="N149" s="94"/>
      <c r="O149" s="92"/>
      <c r="P149" s="95">
        <f>SUMPRODUCT(VALUE(K143:K147))-(SUM(L143:L147))</f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5">
        <v>46433.0</v>
      </c>
      <c r="B150" s="23"/>
      <c r="C150" s="26"/>
      <c r="D150" s="30"/>
      <c r="E150" s="23"/>
      <c r="F150" s="26"/>
      <c r="G150" s="33"/>
      <c r="H150" s="23"/>
      <c r="I150" s="26"/>
      <c r="J150" s="33"/>
      <c r="K150" s="132"/>
      <c r="L150" s="108"/>
      <c r="M150" s="39"/>
      <c r="N150" s="39"/>
      <c r="O150" s="38"/>
      <c r="P150" s="98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5">
        <v>46434.0</v>
      </c>
      <c r="B151" s="133"/>
      <c r="C151" s="134"/>
      <c r="D151" s="135"/>
      <c r="E151" s="133"/>
      <c r="F151" s="134"/>
      <c r="G151" s="136"/>
      <c r="H151" s="133"/>
      <c r="I151" s="134"/>
      <c r="J151" s="136"/>
      <c r="K151" s="137"/>
      <c r="L151" s="68"/>
      <c r="M151" s="44"/>
      <c r="N151" s="44"/>
      <c r="O151" s="44"/>
      <c r="P151" s="6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5">
        <v>46435.0</v>
      </c>
      <c r="B152" s="133"/>
      <c r="C152" s="134"/>
      <c r="D152" s="135"/>
      <c r="E152" s="133"/>
      <c r="F152" s="134"/>
      <c r="G152" s="136"/>
      <c r="H152" s="133"/>
      <c r="I152" s="134"/>
      <c r="J152" s="136"/>
      <c r="K152" s="137"/>
      <c r="L152" s="68"/>
      <c r="M152" s="44"/>
      <c r="N152" s="44"/>
      <c r="O152" s="44"/>
      <c r="P152" s="6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5">
        <v>46436.0</v>
      </c>
      <c r="B153" s="133"/>
      <c r="C153" s="138"/>
      <c r="D153" s="139"/>
      <c r="E153" s="133"/>
      <c r="F153" s="138"/>
      <c r="G153" s="136"/>
      <c r="H153" s="133"/>
      <c r="I153" s="138"/>
      <c r="J153" s="136"/>
      <c r="K153" s="137"/>
      <c r="L153" s="68"/>
      <c r="M153" s="44"/>
      <c r="N153" s="44"/>
      <c r="O153" s="44"/>
      <c r="P153" s="6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5">
        <v>46437.0</v>
      </c>
      <c r="B154" s="140"/>
      <c r="C154" s="141"/>
      <c r="D154" s="70"/>
      <c r="E154" s="140"/>
      <c r="F154" s="141"/>
      <c r="G154" s="70"/>
      <c r="H154" s="140"/>
      <c r="I154" s="141"/>
      <c r="J154" s="70"/>
      <c r="K154" s="142"/>
      <c r="L154" s="88"/>
      <c r="M154" s="44"/>
      <c r="N154" s="44"/>
      <c r="O154" s="44"/>
      <c r="P154" s="6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79"/>
      <c r="B155" s="81"/>
      <c r="C155" s="81"/>
      <c r="D155" s="79"/>
      <c r="E155" s="81"/>
      <c r="F155" s="81"/>
      <c r="G155" s="79"/>
      <c r="H155" s="81"/>
      <c r="I155" s="81"/>
      <c r="J155" s="79"/>
      <c r="K155" s="79"/>
      <c r="L155" s="88"/>
      <c r="M155" s="44"/>
      <c r="N155" s="44"/>
      <c r="O155" s="44"/>
      <c r="P155" s="6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4"/>
      <c r="B156" s="86"/>
      <c r="C156" s="86"/>
      <c r="D156" s="87"/>
      <c r="E156" s="86"/>
      <c r="F156" s="86"/>
      <c r="G156" s="87"/>
      <c r="H156" s="86"/>
      <c r="I156" s="86"/>
      <c r="J156" s="87"/>
      <c r="K156" s="87"/>
      <c r="L156" s="93"/>
      <c r="M156" s="94"/>
      <c r="N156" s="94"/>
      <c r="O156" s="92"/>
      <c r="P156" s="95">
        <f>SUMPRODUCT(VALUE(K150:K154))-(SUM(L150:L154))</f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5">
        <v>46440.0</v>
      </c>
      <c r="B157" s="23"/>
      <c r="C157" s="26"/>
      <c r="D157" s="30"/>
      <c r="E157" s="23"/>
      <c r="F157" s="26"/>
      <c r="G157" s="33"/>
      <c r="H157" s="23"/>
      <c r="I157" s="26"/>
      <c r="J157" s="33"/>
      <c r="K157" s="132"/>
      <c r="L157" s="108"/>
      <c r="M157" s="39"/>
      <c r="N157" s="39"/>
      <c r="O157" s="38"/>
      <c r="P157" s="98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5">
        <v>46441.0</v>
      </c>
      <c r="B158" s="133"/>
      <c r="C158" s="134"/>
      <c r="D158" s="135"/>
      <c r="E158" s="133"/>
      <c r="F158" s="134"/>
      <c r="G158" s="136"/>
      <c r="H158" s="133"/>
      <c r="I158" s="134"/>
      <c r="J158" s="136"/>
      <c r="K158" s="137"/>
      <c r="L158" s="68"/>
      <c r="M158" s="44"/>
      <c r="N158" s="44"/>
      <c r="O158" s="44"/>
      <c r="P158" s="6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5">
        <v>46442.0</v>
      </c>
      <c r="B159" s="133"/>
      <c r="C159" s="134"/>
      <c r="D159" s="135"/>
      <c r="E159" s="133"/>
      <c r="F159" s="134"/>
      <c r="G159" s="136"/>
      <c r="H159" s="133"/>
      <c r="I159" s="134"/>
      <c r="J159" s="136"/>
      <c r="K159" s="137"/>
      <c r="L159" s="68"/>
      <c r="M159" s="44"/>
      <c r="N159" s="44"/>
      <c r="O159" s="44"/>
      <c r="P159" s="6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5">
        <v>46443.0</v>
      </c>
      <c r="B160" s="133"/>
      <c r="C160" s="138"/>
      <c r="D160" s="139"/>
      <c r="E160" s="133"/>
      <c r="F160" s="138"/>
      <c r="G160" s="136"/>
      <c r="H160" s="133"/>
      <c r="I160" s="138"/>
      <c r="J160" s="136"/>
      <c r="K160" s="137"/>
      <c r="L160" s="68"/>
      <c r="M160" s="44"/>
      <c r="N160" s="44"/>
      <c r="O160" s="44"/>
      <c r="P160" s="6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5">
        <v>46444.0</v>
      </c>
      <c r="B161" s="140"/>
      <c r="C161" s="141"/>
      <c r="D161" s="70"/>
      <c r="E161" s="140"/>
      <c r="F161" s="141"/>
      <c r="G161" s="70"/>
      <c r="H161" s="140"/>
      <c r="I161" s="141"/>
      <c r="J161" s="70"/>
      <c r="K161" s="142"/>
      <c r="L161" s="88"/>
      <c r="M161" s="44"/>
      <c r="N161" s="44"/>
      <c r="O161" s="44"/>
      <c r="P161" s="6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79"/>
      <c r="B162" s="81"/>
      <c r="C162" s="81"/>
      <c r="D162" s="79"/>
      <c r="E162" s="81"/>
      <c r="F162" s="81"/>
      <c r="G162" s="79"/>
      <c r="H162" s="81"/>
      <c r="I162" s="81"/>
      <c r="J162" s="79"/>
      <c r="K162" s="79"/>
      <c r="L162" s="88"/>
      <c r="M162" s="44"/>
      <c r="N162" s="44"/>
      <c r="O162" s="44"/>
      <c r="P162" s="6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4"/>
      <c r="B163" s="86"/>
      <c r="C163" s="86"/>
      <c r="D163" s="87"/>
      <c r="E163" s="86"/>
      <c r="F163" s="86"/>
      <c r="G163" s="87"/>
      <c r="H163" s="86"/>
      <c r="I163" s="86"/>
      <c r="J163" s="87"/>
      <c r="K163" s="87"/>
      <c r="L163" s="93"/>
      <c r="M163" s="94"/>
      <c r="N163" s="94"/>
      <c r="O163" s="92"/>
      <c r="P163" s="95">
        <f>SUMPRODUCT(VALUE(K157:K161))-(SUM(L157:L161))</f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5">
        <v>46447.0</v>
      </c>
      <c r="B164" s="23"/>
      <c r="C164" s="26"/>
      <c r="D164" s="30"/>
      <c r="E164" s="23"/>
      <c r="F164" s="26"/>
      <c r="G164" s="33"/>
      <c r="H164" s="23"/>
      <c r="I164" s="26"/>
      <c r="J164" s="33"/>
      <c r="K164" s="132"/>
      <c r="L164" s="108"/>
      <c r="M164" s="39"/>
      <c r="N164" s="39"/>
      <c r="O164" s="38"/>
      <c r="P164" s="98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5">
        <v>46448.0</v>
      </c>
      <c r="B165" s="133"/>
      <c r="C165" s="134"/>
      <c r="D165" s="135"/>
      <c r="E165" s="133"/>
      <c r="F165" s="134"/>
      <c r="G165" s="136"/>
      <c r="H165" s="133"/>
      <c r="I165" s="134"/>
      <c r="J165" s="136"/>
      <c r="K165" s="137"/>
      <c r="L165" s="68"/>
      <c r="M165" s="44"/>
      <c r="N165" s="44"/>
      <c r="O165" s="44"/>
      <c r="P165" s="6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5">
        <v>46449.0</v>
      </c>
      <c r="B166" s="133"/>
      <c r="C166" s="134"/>
      <c r="D166" s="135"/>
      <c r="E166" s="133"/>
      <c r="F166" s="134"/>
      <c r="G166" s="136"/>
      <c r="H166" s="133"/>
      <c r="I166" s="134"/>
      <c r="J166" s="136"/>
      <c r="K166" s="137"/>
      <c r="L166" s="68"/>
      <c r="M166" s="44"/>
      <c r="N166" s="44"/>
      <c r="O166" s="44"/>
      <c r="P166" s="6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5">
        <v>46450.0</v>
      </c>
      <c r="B167" s="133"/>
      <c r="C167" s="138"/>
      <c r="D167" s="139"/>
      <c r="E167" s="133"/>
      <c r="F167" s="138"/>
      <c r="G167" s="136"/>
      <c r="H167" s="133"/>
      <c r="I167" s="138"/>
      <c r="J167" s="136"/>
      <c r="K167" s="137"/>
      <c r="L167" s="68"/>
      <c r="M167" s="44"/>
      <c r="N167" s="44"/>
      <c r="O167" s="44"/>
      <c r="P167" s="6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5">
        <v>46451.0</v>
      </c>
      <c r="B168" s="140"/>
      <c r="C168" s="141"/>
      <c r="D168" s="70"/>
      <c r="E168" s="140"/>
      <c r="F168" s="141"/>
      <c r="G168" s="70"/>
      <c r="H168" s="140"/>
      <c r="I168" s="141"/>
      <c r="J168" s="70"/>
      <c r="K168" s="142"/>
      <c r="L168" s="88"/>
      <c r="M168" s="44"/>
      <c r="N168" s="44"/>
      <c r="O168" s="44"/>
      <c r="P168" s="6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79"/>
      <c r="B169" s="81"/>
      <c r="C169" s="81"/>
      <c r="D169" s="79"/>
      <c r="E169" s="81"/>
      <c r="F169" s="81"/>
      <c r="G169" s="79"/>
      <c r="H169" s="81"/>
      <c r="I169" s="81"/>
      <c r="J169" s="79"/>
      <c r="K169" s="79"/>
      <c r="L169" s="88"/>
      <c r="M169" s="44"/>
      <c r="N169" s="44"/>
      <c r="O169" s="44"/>
      <c r="P169" s="6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4"/>
      <c r="B170" s="86"/>
      <c r="C170" s="86"/>
      <c r="D170" s="87"/>
      <c r="E170" s="86"/>
      <c r="F170" s="86"/>
      <c r="G170" s="87"/>
      <c r="H170" s="86"/>
      <c r="I170" s="86"/>
      <c r="J170" s="87"/>
      <c r="K170" s="87"/>
      <c r="L170" s="93"/>
      <c r="M170" s="94"/>
      <c r="N170" s="94"/>
      <c r="O170" s="92"/>
      <c r="P170" s="95">
        <f>SUMPRODUCT(VALUE(K164:K168))-(SUM(L164:L168))</f>
        <v>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5">
        <v>46454.0</v>
      </c>
      <c r="B171" s="23"/>
      <c r="C171" s="26"/>
      <c r="D171" s="30"/>
      <c r="E171" s="23"/>
      <c r="F171" s="26"/>
      <c r="G171" s="33"/>
      <c r="H171" s="23"/>
      <c r="I171" s="26"/>
      <c r="J171" s="33"/>
      <c r="K171" s="132"/>
      <c r="L171" s="108"/>
      <c r="M171" s="39"/>
      <c r="N171" s="39"/>
      <c r="O171" s="38"/>
      <c r="P171" s="98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5">
        <v>46455.0</v>
      </c>
      <c r="B172" s="133"/>
      <c r="C172" s="134"/>
      <c r="D172" s="135"/>
      <c r="E172" s="133"/>
      <c r="F172" s="134"/>
      <c r="G172" s="136"/>
      <c r="H172" s="133"/>
      <c r="I172" s="134"/>
      <c r="J172" s="136"/>
      <c r="K172" s="137"/>
      <c r="L172" s="68"/>
      <c r="M172" s="44"/>
      <c r="N172" s="44"/>
      <c r="O172" s="44"/>
      <c r="P172" s="6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5">
        <v>46456.0</v>
      </c>
      <c r="B173" s="133"/>
      <c r="C173" s="134"/>
      <c r="D173" s="135"/>
      <c r="E173" s="133"/>
      <c r="F173" s="134"/>
      <c r="G173" s="136"/>
      <c r="H173" s="133"/>
      <c r="I173" s="134"/>
      <c r="J173" s="136"/>
      <c r="K173" s="137"/>
      <c r="L173" s="68"/>
      <c r="M173" s="44"/>
      <c r="N173" s="44"/>
      <c r="O173" s="44"/>
      <c r="P173" s="6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5">
        <v>46457.0</v>
      </c>
      <c r="B174" s="133"/>
      <c r="C174" s="138"/>
      <c r="D174" s="139"/>
      <c r="E174" s="133"/>
      <c r="F174" s="138"/>
      <c r="G174" s="136"/>
      <c r="H174" s="133"/>
      <c r="I174" s="138"/>
      <c r="J174" s="136"/>
      <c r="K174" s="137"/>
      <c r="L174" s="68"/>
      <c r="M174" s="44"/>
      <c r="N174" s="44"/>
      <c r="O174" s="44"/>
      <c r="P174" s="6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5">
        <v>46458.0</v>
      </c>
      <c r="B175" s="140"/>
      <c r="C175" s="141"/>
      <c r="D175" s="70"/>
      <c r="E175" s="140"/>
      <c r="F175" s="141"/>
      <c r="G175" s="70"/>
      <c r="H175" s="140"/>
      <c r="I175" s="141"/>
      <c r="J175" s="70"/>
      <c r="K175" s="142"/>
      <c r="L175" s="88"/>
      <c r="M175" s="44"/>
      <c r="N175" s="44"/>
      <c r="O175" s="44"/>
      <c r="P175" s="6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79"/>
      <c r="B176" s="81"/>
      <c r="C176" s="81"/>
      <c r="D176" s="79"/>
      <c r="E176" s="81"/>
      <c r="F176" s="81"/>
      <c r="G176" s="79"/>
      <c r="H176" s="81"/>
      <c r="I176" s="81"/>
      <c r="J176" s="79"/>
      <c r="K176" s="79"/>
      <c r="L176" s="88"/>
      <c r="M176" s="44"/>
      <c r="N176" s="44"/>
      <c r="O176" s="44"/>
      <c r="P176" s="6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4"/>
      <c r="B177" s="86"/>
      <c r="C177" s="86"/>
      <c r="D177" s="87"/>
      <c r="E177" s="86"/>
      <c r="F177" s="86"/>
      <c r="G177" s="87"/>
      <c r="H177" s="86"/>
      <c r="I177" s="86"/>
      <c r="J177" s="87"/>
      <c r="K177" s="87"/>
      <c r="L177" s="93"/>
      <c r="M177" s="94"/>
      <c r="N177" s="94"/>
      <c r="O177" s="92"/>
      <c r="P177" s="95">
        <f>SUMPRODUCT(VALUE(K171:K175))-(SUM(L171:L175))</f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5">
        <v>46461.0</v>
      </c>
      <c r="B178" s="23"/>
      <c r="C178" s="26"/>
      <c r="D178" s="30"/>
      <c r="E178" s="23"/>
      <c r="F178" s="26"/>
      <c r="G178" s="33"/>
      <c r="H178" s="23"/>
      <c r="I178" s="26"/>
      <c r="J178" s="33"/>
      <c r="K178" s="132"/>
      <c r="L178" s="108"/>
      <c r="M178" s="39"/>
      <c r="N178" s="39"/>
      <c r="O178" s="38"/>
      <c r="P178" s="98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5">
        <v>46462.0</v>
      </c>
      <c r="B179" s="133"/>
      <c r="C179" s="134"/>
      <c r="D179" s="135"/>
      <c r="E179" s="133"/>
      <c r="F179" s="134"/>
      <c r="G179" s="136"/>
      <c r="H179" s="133"/>
      <c r="I179" s="134"/>
      <c r="J179" s="136"/>
      <c r="K179" s="137"/>
      <c r="L179" s="68"/>
      <c r="M179" s="44"/>
      <c r="N179" s="44"/>
      <c r="O179" s="44"/>
      <c r="P179" s="6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5">
        <v>46463.0</v>
      </c>
      <c r="B180" s="133"/>
      <c r="C180" s="134"/>
      <c r="D180" s="135"/>
      <c r="E180" s="133"/>
      <c r="F180" s="134"/>
      <c r="G180" s="136"/>
      <c r="H180" s="133"/>
      <c r="I180" s="134"/>
      <c r="J180" s="136"/>
      <c r="K180" s="137"/>
      <c r="L180" s="68"/>
      <c r="M180" s="44"/>
      <c r="N180" s="44"/>
      <c r="O180" s="44"/>
      <c r="P180" s="6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5">
        <v>46464.0</v>
      </c>
      <c r="B181" s="133"/>
      <c r="C181" s="138"/>
      <c r="D181" s="139"/>
      <c r="E181" s="133"/>
      <c r="F181" s="138"/>
      <c r="G181" s="136"/>
      <c r="H181" s="133"/>
      <c r="I181" s="138"/>
      <c r="J181" s="136"/>
      <c r="K181" s="137"/>
      <c r="L181" s="68"/>
      <c r="M181" s="44"/>
      <c r="N181" s="44"/>
      <c r="O181" s="44"/>
      <c r="P181" s="6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5">
        <v>46465.0</v>
      </c>
      <c r="B182" s="140"/>
      <c r="C182" s="141"/>
      <c r="D182" s="70"/>
      <c r="E182" s="140"/>
      <c r="F182" s="141"/>
      <c r="G182" s="70"/>
      <c r="H182" s="140"/>
      <c r="I182" s="141"/>
      <c r="J182" s="70"/>
      <c r="K182" s="142"/>
      <c r="L182" s="88"/>
      <c r="M182" s="44"/>
      <c r="N182" s="44"/>
      <c r="O182" s="44"/>
      <c r="P182" s="6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79"/>
      <c r="B183" s="81"/>
      <c r="C183" s="81"/>
      <c r="D183" s="79"/>
      <c r="E183" s="81"/>
      <c r="F183" s="81"/>
      <c r="G183" s="79"/>
      <c r="H183" s="81"/>
      <c r="I183" s="81"/>
      <c r="J183" s="79"/>
      <c r="K183" s="79"/>
      <c r="L183" s="88"/>
      <c r="M183" s="44"/>
      <c r="N183" s="44"/>
      <c r="O183" s="44"/>
      <c r="P183" s="6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4"/>
      <c r="B184" s="86"/>
      <c r="C184" s="86"/>
      <c r="D184" s="87"/>
      <c r="E184" s="86"/>
      <c r="F184" s="86"/>
      <c r="G184" s="87"/>
      <c r="H184" s="86"/>
      <c r="I184" s="86"/>
      <c r="J184" s="87"/>
      <c r="K184" s="87"/>
      <c r="L184" s="93"/>
      <c r="M184" s="94"/>
      <c r="N184" s="94"/>
      <c r="O184" s="92"/>
      <c r="P184" s="95">
        <f>SUMPRODUCT(VALUE(K178:K182))-(SUM(L178:L182))</f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5">
        <v>46468.0</v>
      </c>
      <c r="B185" s="23"/>
      <c r="C185" s="26"/>
      <c r="D185" s="30"/>
      <c r="E185" s="23"/>
      <c r="F185" s="26"/>
      <c r="G185" s="33"/>
      <c r="H185" s="23"/>
      <c r="I185" s="26"/>
      <c r="J185" s="33"/>
      <c r="K185" s="132"/>
      <c r="L185" s="108"/>
      <c r="M185" s="39"/>
      <c r="N185" s="39"/>
      <c r="O185" s="38"/>
      <c r="P185" s="98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5">
        <v>46469.0</v>
      </c>
      <c r="B186" s="133"/>
      <c r="C186" s="134"/>
      <c r="D186" s="135"/>
      <c r="E186" s="133"/>
      <c r="F186" s="134"/>
      <c r="G186" s="136"/>
      <c r="H186" s="133"/>
      <c r="I186" s="134"/>
      <c r="J186" s="136"/>
      <c r="K186" s="137"/>
      <c r="L186" s="68"/>
      <c r="M186" s="44"/>
      <c r="N186" s="44"/>
      <c r="O186" s="44"/>
      <c r="P186" s="6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5">
        <v>46470.0</v>
      </c>
      <c r="B187" s="133"/>
      <c r="C187" s="134"/>
      <c r="D187" s="135"/>
      <c r="E187" s="133"/>
      <c r="F187" s="134"/>
      <c r="G187" s="136"/>
      <c r="H187" s="133"/>
      <c r="I187" s="134"/>
      <c r="J187" s="136"/>
      <c r="K187" s="137"/>
      <c r="L187" s="68"/>
      <c r="M187" s="44"/>
      <c r="N187" s="44"/>
      <c r="O187" s="44"/>
      <c r="P187" s="6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5">
        <v>46471.0</v>
      </c>
      <c r="B188" s="133"/>
      <c r="C188" s="138"/>
      <c r="D188" s="139"/>
      <c r="E188" s="133"/>
      <c r="F188" s="138"/>
      <c r="G188" s="136"/>
      <c r="H188" s="133"/>
      <c r="I188" s="138"/>
      <c r="J188" s="136"/>
      <c r="K188" s="137"/>
      <c r="L188" s="68"/>
      <c r="M188" s="44"/>
      <c r="N188" s="44"/>
      <c r="O188" s="44"/>
      <c r="P188" s="6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5">
        <v>46472.0</v>
      </c>
      <c r="B189" s="140"/>
      <c r="C189" s="141"/>
      <c r="D189" s="70"/>
      <c r="E189" s="140"/>
      <c r="F189" s="141"/>
      <c r="G189" s="70"/>
      <c r="H189" s="140"/>
      <c r="I189" s="141"/>
      <c r="J189" s="70"/>
      <c r="K189" s="142"/>
      <c r="L189" s="88"/>
      <c r="M189" s="44"/>
      <c r="N189" s="44"/>
      <c r="O189" s="44"/>
      <c r="P189" s="6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79"/>
      <c r="B190" s="81"/>
      <c r="C190" s="81"/>
      <c r="D190" s="79"/>
      <c r="E190" s="81"/>
      <c r="F190" s="81"/>
      <c r="G190" s="79"/>
      <c r="H190" s="81"/>
      <c r="I190" s="81"/>
      <c r="J190" s="79"/>
      <c r="K190" s="79"/>
      <c r="L190" s="88"/>
      <c r="M190" s="44"/>
      <c r="N190" s="44"/>
      <c r="O190" s="44"/>
      <c r="P190" s="6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4"/>
      <c r="B191" s="86"/>
      <c r="C191" s="86"/>
      <c r="D191" s="87"/>
      <c r="E191" s="86"/>
      <c r="F191" s="86"/>
      <c r="G191" s="87"/>
      <c r="H191" s="86"/>
      <c r="I191" s="86"/>
      <c r="J191" s="87"/>
      <c r="K191" s="87"/>
      <c r="L191" s="93"/>
      <c r="M191" s="94"/>
      <c r="N191" s="94"/>
      <c r="O191" s="92"/>
      <c r="P191" s="95">
        <f>SUMPRODUCT(VALUE(K185:K189))-(SUM(L185:L189))</f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5">
        <v>46475.0</v>
      </c>
      <c r="B192" s="23"/>
      <c r="C192" s="26"/>
      <c r="D192" s="30"/>
      <c r="E192" s="23"/>
      <c r="F192" s="26"/>
      <c r="G192" s="33"/>
      <c r="H192" s="23"/>
      <c r="I192" s="26"/>
      <c r="J192" s="33"/>
      <c r="K192" s="132"/>
      <c r="L192" s="108"/>
      <c r="M192" s="39"/>
      <c r="N192" s="39"/>
      <c r="O192" s="38"/>
      <c r="P192" s="98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5">
        <v>46476.0</v>
      </c>
      <c r="B193" s="133"/>
      <c r="C193" s="134"/>
      <c r="D193" s="135"/>
      <c r="E193" s="133"/>
      <c r="F193" s="134"/>
      <c r="G193" s="136"/>
      <c r="H193" s="133"/>
      <c r="I193" s="134"/>
      <c r="J193" s="136"/>
      <c r="K193" s="137"/>
      <c r="L193" s="68"/>
      <c r="M193" s="44"/>
      <c r="N193" s="44"/>
      <c r="O193" s="44"/>
      <c r="P193" s="6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5">
        <v>46477.0</v>
      </c>
      <c r="B194" s="133"/>
      <c r="C194" s="134"/>
      <c r="D194" s="135"/>
      <c r="E194" s="133"/>
      <c r="F194" s="134"/>
      <c r="G194" s="136"/>
      <c r="H194" s="133"/>
      <c r="I194" s="134"/>
      <c r="J194" s="136"/>
      <c r="K194" s="137"/>
      <c r="L194" s="68"/>
      <c r="M194" s="44"/>
      <c r="N194" s="44"/>
      <c r="O194" s="44"/>
      <c r="P194" s="6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5">
        <v>46478.0</v>
      </c>
      <c r="B195" s="133"/>
      <c r="C195" s="138"/>
      <c r="D195" s="139"/>
      <c r="E195" s="133"/>
      <c r="F195" s="138"/>
      <c r="G195" s="136"/>
      <c r="H195" s="133"/>
      <c r="I195" s="138"/>
      <c r="J195" s="136"/>
      <c r="K195" s="137"/>
      <c r="L195" s="68"/>
      <c r="M195" s="44"/>
      <c r="N195" s="44"/>
      <c r="O195" s="44"/>
      <c r="P195" s="6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5">
        <v>46479.0</v>
      </c>
      <c r="B196" s="140"/>
      <c r="C196" s="141"/>
      <c r="D196" s="70"/>
      <c r="E196" s="140"/>
      <c r="F196" s="141"/>
      <c r="G196" s="70"/>
      <c r="H196" s="140"/>
      <c r="I196" s="141"/>
      <c r="J196" s="70"/>
      <c r="K196" s="142"/>
      <c r="L196" s="88"/>
      <c r="M196" s="44"/>
      <c r="N196" s="44"/>
      <c r="O196" s="44"/>
      <c r="P196" s="6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79"/>
      <c r="B197" s="81"/>
      <c r="C197" s="81"/>
      <c r="D197" s="79"/>
      <c r="E197" s="81"/>
      <c r="F197" s="81"/>
      <c r="G197" s="79"/>
      <c r="H197" s="81"/>
      <c r="I197" s="81"/>
      <c r="J197" s="79"/>
      <c r="K197" s="79"/>
      <c r="L197" s="88"/>
      <c r="M197" s="44"/>
      <c r="N197" s="44"/>
      <c r="O197" s="44"/>
      <c r="P197" s="6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4"/>
      <c r="B198" s="86"/>
      <c r="C198" s="86"/>
      <c r="D198" s="87"/>
      <c r="E198" s="86"/>
      <c r="F198" s="86"/>
      <c r="G198" s="87"/>
      <c r="H198" s="86"/>
      <c r="I198" s="86"/>
      <c r="J198" s="87"/>
      <c r="K198" s="87"/>
      <c r="L198" s="93"/>
      <c r="M198" s="94"/>
      <c r="N198" s="94"/>
      <c r="O198" s="92"/>
      <c r="P198" s="95">
        <f>SUMPRODUCT(VALUE(K192:K196))-(SUM(L192:L196))</f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5">
        <v>46482.0</v>
      </c>
      <c r="B199" s="23"/>
      <c r="C199" s="26"/>
      <c r="D199" s="30"/>
      <c r="E199" s="23"/>
      <c r="F199" s="26"/>
      <c r="G199" s="33"/>
      <c r="H199" s="23"/>
      <c r="I199" s="26"/>
      <c r="J199" s="33"/>
      <c r="K199" s="132"/>
      <c r="L199" s="108"/>
      <c r="M199" s="39"/>
      <c r="N199" s="39"/>
      <c r="O199" s="38"/>
      <c r="P199" s="98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5">
        <v>46483.0</v>
      </c>
      <c r="B200" s="133"/>
      <c r="C200" s="134"/>
      <c r="D200" s="135"/>
      <c r="E200" s="133"/>
      <c r="F200" s="134"/>
      <c r="G200" s="136"/>
      <c r="H200" s="133"/>
      <c r="I200" s="134"/>
      <c r="J200" s="136"/>
      <c r="K200" s="137"/>
      <c r="L200" s="68"/>
      <c r="M200" s="44"/>
      <c r="N200" s="44"/>
      <c r="O200" s="44"/>
      <c r="P200" s="6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5">
        <v>46484.0</v>
      </c>
      <c r="B201" s="133"/>
      <c r="C201" s="134"/>
      <c r="D201" s="135"/>
      <c r="E201" s="133"/>
      <c r="F201" s="134"/>
      <c r="G201" s="136"/>
      <c r="H201" s="133"/>
      <c r="I201" s="134"/>
      <c r="J201" s="136"/>
      <c r="K201" s="137"/>
      <c r="L201" s="68"/>
      <c r="M201" s="44"/>
      <c r="N201" s="44"/>
      <c r="O201" s="44"/>
      <c r="P201" s="6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5">
        <v>46485.0</v>
      </c>
      <c r="B202" s="133"/>
      <c r="C202" s="138"/>
      <c r="D202" s="139"/>
      <c r="E202" s="133"/>
      <c r="F202" s="138"/>
      <c r="G202" s="136"/>
      <c r="H202" s="133"/>
      <c r="I202" s="138"/>
      <c r="J202" s="136"/>
      <c r="K202" s="137"/>
      <c r="L202" s="68"/>
      <c r="M202" s="44"/>
      <c r="N202" s="44"/>
      <c r="O202" s="44"/>
      <c r="P202" s="6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5">
        <v>46486.0</v>
      </c>
      <c r="B203" s="140"/>
      <c r="C203" s="141"/>
      <c r="D203" s="70"/>
      <c r="E203" s="140"/>
      <c r="F203" s="141"/>
      <c r="G203" s="70"/>
      <c r="H203" s="140"/>
      <c r="I203" s="141"/>
      <c r="J203" s="70"/>
      <c r="K203" s="142"/>
      <c r="L203" s="88"/>
      <c r="M203" s="44"/>
      <c r="N203" s="44"/>
      <c r="O203" s="44"/>
      <c r="P203" s="6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79"/>
      <c r="B204" s="81"/>
      <c r="C204" s="81"/>
      <c r="D204" s="79"/>
      <c r="E204" s="81"/>
      <c r="F204" s="81"/>
      <c r="G204" s="79"/>
      <c r="H204" s="81"/>
      <c r="I204" s="81"/>
      <c r="J204" s="79"/>
      <c r="K204" s="79"/>
      <c r="L204" s="88"/>
      <c r="M204" s="44"/>
      <c r="N204" s="44"/>
      <c r="O204" s="44"/>
      <c r="P204" s="6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4"/>
      <c r="B205" s="86"/>
      <c r="C205" s="86"/>
      <c r="D205" s="87"/>
      <c r="E205" s="86"/>
      <c r="F205" s="86"/>
      <c r="G205" s="87"/>
      <c r="H205" s="86"/>
      <c r="I205" s="86"/>
      <c r="J205" s="87"/>
      <c r="K205" s="87"/>
      <c r="L205" s="93"/>
      <c r="M205" s="94"/>
      <c r="N205" s="94"/>
      <c r="O205" s="92"/>
      <c r="P205" s="95">
        <f>SUMPRODUCT(VALUE(K199:K203))-(SUM(L199:L203))</f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5">
        <v>46489.0</v>
      </c>
      <c r="B206" s="23"/>
      <c r="C206" s="26"/>
      <c r="D206" s="30"/>
      <c r="E206" s="23"/>
      <c r="F206" s="26"/>
      <c r="G206" s="33"/>
      <c r="H206" s="23"/>
      <c r="I206" s="26"/>
      <c r="J206" s="33"/>
      <c r="K206" s="132"/>
      <c r="L206" s="108"/>
      <c r="M206" s="39"/>
      <c r="N206" s="39"/>
      <c r="O206" s="38"/>
      <c r="P206" s="98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5">
        <v>46490.0</v>
      </c>
      <c r="B207" s="133"/>
      <c r="C207" s="134"/>
      <c r="D207" s="135"/>
      <c r="E207" s="133"/>
      <c r="F207" s="134"/>
      <c r="G207" s="136"/>
      <c r="H207" s="133"/>
      <c r="I207" s="134"/>
      <c r="J207" s="136"/>
      <c r="K207" s="137"/>
      <c r="L207" s="68"/>
      <c r="M207" s="44"/>
      <c r="N207" s="44"/>
      <c r="O207" s="44"/>
      <c r="P207" s="6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5">
        <v>46491.0</v>
      </c>
      <c r="B208" s="133"/>
      <c r="C208" s="134"/>
      <c r="D208" s="135"/>
      <c r="E208" s="133"/>
      <c r="F208" s="134"/>
      <c r="G208" s="136"/>
      <c r="H208" s="133"/>
      <c r="I208" s="134"/>
      <c r="J208" s="136"/>
      <c r="K208" s="137"/>
      <c r="L208" s="68"/>
      <c r="M208" s="44"/>
      <c r="N208" s="44"/>
      <c r="O208" s="44"/>
      <c r="P208" s="6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5">
        <v>46492.0</v>
      </c>
      <c r="B209" s="133"/>
      <c r="C209" s="138"/>
      <c r="D209" s="139"/>
      <c r="E209" s="133"/>
      <c r="F209" s="138"/>
      <c r="G209" s="136"/>
      <c r="H209" s="133"/>
      <c r="I209" s="138"/>
      <c r="J209" s="136"/>
      <c r="K209" s="137"/>
      <c r="L209" s="68"/>
      <c r="M209" s="44"/>
      <c r="N209" s="44"/>
      <c r="O209" s="44"/>
      <c r="P209" s="6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5">
        <v>46493.0</v>
      </c>
      <c r="B210" s="140"/>
      <c r="C210" s="141"/>
      <c r="D210" s="70"/>
      <c r="E210" s="140"/>
      <c r="F210" s="141"/>
      <c r="G210" s="70"/>
      <c r="H210" s="140"/>
      <c r="I210" s="141"/>
      <c r="J210" s="70"/>
      <c r="K210" s="142"/>
      <c r="L210" s="88"/>
      <c r="M210" s="44"/>
      <c r="N210" s="44"/>
      <c r="O210" s="44"/>
      <c r="P210" s="6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79"/>
      <c r="B211" s="81"/>
      <c r="C211" s="81"/>
      <c r="D211" s="79"/>
      <c r="E211" s="81"/>
      <c r="F211" s="81"/>
      <c r="G211" s="79"/>
      <c r="H211" s="81"/>
      <c r="I211" s="81"/>
      <c r="J211" s="79"/>
      <c r="K211" s="79"/>
      <c r="L211" s="88"/>
      <c r="M211" s="44"/>
      <c r="N211" s="44"/>
      <c r="O211" s="44"/>
      <c r="P211" s="6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4"/>
      <c r="B212" s="86"/>
      <c r="C212" s="86"/>
      <c r="D212" s="87"/>
      <c r="E212" s="86"/>
      <c r="F212" s="86"/>
      <c r="G212" s="87"/>
      <c r="H212" s="86"/>
      <c r="I212" s="86"/>
      <c r="J212" s="87"/>
      <c r="K212" s="87"/>
      <c r="L212" s="93"/>
      <c r="M212" s="94"/>
      <c r="N212" s="94"/>
      <c r="O212" s="92"/>
      <c r="P212" s="95">
        <f>SUMPRODUCT(VALUE(K206:K210))-(SUM(L206:L210))</f>
        <v>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5">
        <v>46496.0</v>
      </c>
      <c r="B213" s="23"/>
      <c r="C213" s="26"/>
      <c r="D213" s="30"/>
      <c r="E213" s="23"/>
      <c r="F213" s="26"/>
      <c r="G213" s="33"/>
      <c r="H213" s="23"/>
      <c r="I213" s="26"/>
      <c r="J213" s="33"/>
      <c r="K213" s="132"/>
      <c r="L213" s="108"/>
      <c r="M213" s="39"/>
      <c r="N213" s="39"/>
      <c r="O213" s="38"/>
      <c r="P213" s="98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5">
        <v>46497.0</v>
      </c>
      <c r="B214" s="133"/>
      <c r="C214" s="134"/>
      <c r="D214" s="135"/>
      <c r="E214" s="133"/>
      <c r="F214" s="134"/>
      <c r="G214" s="136"/>
      <c r="H214" s="133"/>
      <c r="I214" s="134"/>
      <c r="J214" s="136"/>
      <c r="K214" s="137"/>
      <c r="L214" s="68"/>
      <c r="M214" s="44"/>
      <c r="N214" s="44"/>
      <c r="O214" s="44"/>
      <c r="P214" s="6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5">
        <v>46498.0</v>
      </c>
      <c r="B215" s="133"/>
      <c r="C215" s="134"/>
      <c r="D215" s="135"/>
      <c r="E215" s="133"/>
      <c r="F215" s="134"/>
      <c r="G215" s="136"/>
      <c r="H215" s="133"/>
      <c r="I215" s="134"/>
      <c r="J215" s="136"/>
      <c r="K215" s="137"/>
      <c r="L215" s="68"/>
      <c r="M215" s="44"/>
      <c r="N215" s="44"/>
      <c r="O215" s="44"/>
      <c r="P215" s="6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5">
        <v>46499.0</v>
      </c>
      <c r="B216" s="133"/>
      <c r="C216" s="138"/>
      <c r="D216" s="139"/>
      <c r="E216" s="133"/>
      <c r="F216" s="138"/>
      <c r="G216" s="136"/>
      <c r="H216" s="133"/>
      <c r="I216" s="138"/>
      <c r="J216" s="136"/>
      <c r="K216" s="137"/>
      <c r="L216" s="68"/>
      <c r="M216" s="44"/>
      <c r="N216" s="44"/>
      <c r="O216" s="44"/>
      <c r="P216" s="6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5">
        <v>46500.0</v>
      </c>
      <c r="B217" s="140"/>
      <c r="C217" s="141"/>
      <c r="D217" s="70"/>
      <c r="E217" s="140"/>
      <c r="F217" s="141"/>
      <c r="G217" s="70"/>
      <c r="H217" s="140"/>
      <c r="I217" s="141"/>
      <c r="J217" s="70"/>
      <c r="K217" s="142"/>
      <c r="L217" s="88"/>
      <c r="M217" s="44"/>
      <c r="N217" s="44"/>
      <c r="O217" s="44"/>
      <c r="P217" s="6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79"/>
      <c r="B218" s="81"/>
      <c r="C218" s="81"/>
      <c r="D218" s="79"/>
      <c r="E218" s="81"/>
      <c r="F218" s="81"/>
      <c r="G218" s="79"/>
      <c r="H218" s="81"/>
      <c r="I218" s="81"/>
      <c r="J218" s="79"/>
      <c r="K218" s="79"/>
      <c r="L218" s="88"/>
      <c r="M218" s="44"/>
      <c r="N218" s="44"/>
      <c r="O218" s="44"/>
      <c r="P218" s="6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4"/>
      <c r="B219" s="86"/>
      <c r="C219" s="86"/>
      <c r="D219" s="87"/>
      <c r="E219" s="86"/>
      <c r="F219" s="86"/>
      <c r="G219" s="87"/>
      <c r="H219" s="86"/>
      <c r="I219" s="86"/>
      <c r="J219" s="87"/>
      <c r="K219" s="87"/>
      <c r="L219" s="93"/>
      <c r="M219" s="94"/>
      <c r="N219" s="94"/>
      <c r="O219" s="92"/>
      <c r="P219" s="95">
        <f>SUMPRODUCT(VALUE(K213:K217))-(SUM(L213:L217))</f>
        <v>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5">
        <v>46503.0</v>
      </c>
      <c r="B220" s="23"/>
      <c r="C220" s="26"/>
      <c r="D220" s="30"/>
      <c r="E220" s="23"/>
      <c r="F220" s="26"/>
      <c r="G220" s="33"/>
      <c r="H220" s="23"/>
      <c r="I220" s="26"/>
      <c r="J220" s="33"/>
      <c r="K220" s="132"/>
      <c r="L220" s="108"/>
      <c r="M220" s="39"/>
      <c r="N220" s="39"/>
      <c r="O220" s="38"/>
      <c r="P220" s="98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5">
        <v>46504.0</v>
      </c>
      <c r="B221" s="133"/>
      <c r="C221" s="134"/>
      <c r="D221" s="135"/>
      <c r="E221" s="133"/>
      <c r="F221" s="134"/>
      <c r="G221" s="136"/>
      <c r="H221" s="133"/>
      <c r="I221" s="134"/>
      <c r="J221" s="136"/>
      <c r="K221" s="137"/>
      <c r="L221" s="68"/>
      <c r="M221" s="44"/>
      <c r="N221" s="44"/>
      <c r="O221" s="44"/>
      <c r="P221" s="6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5">
        <v>46505.0</v>
      </c>
      <c r="B222" s="133"/>
      <c r="C222" s="134"/>
      <c r="D222" s="135"/>
      <c r="E222" s="133"/>
      <c r="F222" s="134"/>
      <c r="G222" s="136"/>
      <c r="H222" s="133"/>
      <c r="I222" s="134"/>
      <c r="J222" s="136"/>
      <c r="K222" s="137"/>
      <c r="L222" s="68"/>
      <c r="M222" s="44"/>
      <c r="N222" s="44"/>
      <c r="O222" s="44"/>
      <c r="P222" s="6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5">
        <v>46506.0</v>
      </c>
      <c r="B223" s="133"/>
      <c r="C223" s="138"/>
      <c r="D223" s="139"/>
      <c r="E223" s="133"/>
      <c r="F223" s="138"/>
      <c r="G223" s="136"/>
      <c r="H223" s="133"/>
      <c r="I223" s="138"/>
      <c r="J223" s="136"/>
      <c r="K223" s="137"/>
      <c r="L223" s="68"/>
      <c r="M223" s="44"/>
      <c r="N223" s="44"/>
      <c r="O223" s="44"/>
      <c r="P223" s="6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5">
        <v>46507.0</v>
      </c>
      <c r="B224" s="140"/>
      <c r="C224" s="141"/>
      <c r="D224" s="70"/>
      <c r="E224" s="140"/>
      <c r="F224" s="141"/>
      <c r="G224" s="70"/>
      <c r="H224" s="140"/>
      <c r="I224" s="141"/>
      <c r="J224" s="70"/>
      <c r="K224" s="142"/>
      <c r="L224" s="88"/>
      <c r="M224" s="44"/>
      <c r="N224" s="44"/>
      <c r="O224" s="44"/>
      <c r="P224" s="6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79"/>
      <c r="B225" s="81"/>
      <c r="C225" s="81"/>
      <c r="D225" s="79"/>
      <c r="E225" s="81"/>
      <c r="F225" s="81"/>
      <c r="G225" s="79"/>
      <c r="H225" s="81"/>
      <c r="I225" s="81"/>
      <c r="J225" s="79"/>
      <c r="K225" s="79"/>
      <c r="L225" s="88"/>
      <c r="M225" s="44"/>
      <c r="N225" s="44"/>
      <c r="O225" s="44"/>
      <c r="P225" s="6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4"/>
      <c r="B226" s="86"/>
      <c r="C226" s="86"/>
      <c r="D226" s="87"/>
      <c r="E226" s="86"/>
      <c r="F226" s="86"/>
      <c r="G226" s="87"/>
      <c r="H226" s="86"/>
      <c r="I226" s="86"/>
      <c r="J226" s="87"/>
      <c r="K226" s="87"/>
      <c r="L226" s="93"/>
      <c r="M226" s="94"/>
      <c r="N226" s="94"/>
      <c r="O226" s="92"/>
      <c r="P226" s="95">
        <f>SUMPRODUCT(VALUE(K220:K224))-(SUM(L220:L224))</f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5">
        <v>46510.0</v>
      </c>
      <c r="B227" s="23"/>
      <c r="C227" s="26"/>
      <c r="D227" s="30"/>
      <c r="E227" s="23"/>
      <c r="F227" s="26"/>
      <c r="G227" s="33"/>
      <c r="H227" s="23"/>
      <c r="I227" s="26"/>
      <c r="J227" s="33"/>
      <c r="K227" s="132"/>
      <c r="L227" s="108"/>
      <c r="M227" s="39"/>
      <c r="N227" s="39"/>
      <c r="O227" s="38"/>
      <c r="P227" s="9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5">
        <v>46511.0</v>
      </c>
      <c r="B228" s="133"/>
      <c r="C228" s="134"/>
      <c r="D228" s="135"/>
      <c r="E228" s="133"/>
      <c r="F228" s="134"/>
      <c r="G228" s="136"/>
      <c r="H228" s="133"/>
      <c r="I228" s="134"/>
      <c r="J228" s="136"/>
      <c r="K228" s="137"/>
      <c r="L228" s="68"/>
      <c r="M228" s="44"/>
      <c r="N228" s="44"/>
      <c r="O228" s="44"/>
      <c r="P228" s="6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5">
        <v>46512.0</v>
      </c>
      <c r="B229" s="133"/>
      <c r="C229" s="134"/>
      <c r="D229" s="135"/>
      <c r="E229" s="133"/>
      <c r="F229" s="134"/>
      <c r="G229" s="136"/>
      <c r="H229" s="133"/>
      <c r="I229" s="134"/>
      <c r="J229" s="136"/>
      <c r="K229" s="137"/>
      <c r="L229" s="68"/>
      <c r="M229" s="44"/>
      <c r="N229" s="44"/>
      <c r="O229" s="44"/>
      <c r="P229" s="6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5">
        <v>46513.0</v>
      </c>
      <c r="B230" s="133"/>
      <c r="C230" s="138"/>
      <c r="D230" s="139"/>
      <c r="E230" s="133"/>
      <c r="F230" s="138"/>
      <c r="G230" s="136"/>
      <c r="H230" s="133"/>
      <c r="I230" s="138"/>
      <c r="J230" s="136"/>
      <c r="K230" s="137"/>
      <c r="L230" s="68"/>
      <c r="M230" s="44"/>
      <c r="N230" s="44"/>
      <c r="O230" s="44"/>
      <c r="P230" s="6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5">
        <v>46514.0</v>
      </c>
      <c r="B231" s="140"/>
      <c r="C231" s="141"/>
      <c r="D231" s="70"/>
      <c r="E231" s="140"/>
      <c r="F231" s="141"/>
      <c r="G231" s="70"/>
      <c r="H231" s="140"/>
      <c r="I231" s="141"/>
      <c r="J231" s="70"/>
      <c r="K231" s="142"/>
      <c r="L231" s="88"/>
      <c r="M231" s="44"/>
      <c r="N231" s="44"/>
      <c r="O231" s="44"/>
      <c r="P231" s="6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79"/>
      <c r="B232" s="81"/>
      <c r="C232" s="81"/>
      <c r="D232" s="79"/>
      <c r="E232" s="81"/>
      <c r="F232" s="81"/>
      <c r="G232" s="79"/>
      <c r="H232" s="81"/>
      <c r="I232" s="81"/>
      <c r="J232" s="79"/>
      <c r="K232" s="79"/>
      <c r="L232" s="88"/>
      <c r="M232" s="44"/>
      <c r="N232" s="44"/>
      <c r="O232" s="44"/>
      <c r="P232" s="6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4"/>
      <c r="B233" s="86"/>
      <c r="C233" s="86"/>
      <c r="D233" s="87"/>
      <c r="E233" s="86"/>
      <c r="F233" s="86"/>
      <c r="G233" s="87"/>
      <c r="H233" s="86"/>
      <c r="I233" s="86"/>
      <c r="J233" s="87"/>
      <c r="K233" s="87"/>
      <c r="L233" s="93"/>
      <c r="M233" s="94"/>
      <c r="N233" s="94"/>
      <c r="O233" s="92"/>
      <c r="P233" s="95">
        <f>SUMPRODUCT(VALUE(K227:K231))-(SUM(L227:L231))</f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5">
        <v>46517.0</v>
      </c>
      <c r="B234" s="23"/>
      <c r="C234" s="26"/>
      <c r="D234" s="30"/>
      <c r="E234" s="23"/>
      <c r="F234" s="26"/>
      <c r="G234" s="33"/>
      <c r="H234" s="23"/>
      <c r="I234" s="26"/>
      <c r="J234" s="33"/>
      <c r="K234" s="132"/>
      <c r="L234" s="108"/>
      <c r="M234" s="39"/>
      <c r="N234" s="39"/>
      <c r="O234" s="38"/>
      <c r="P234" s="98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5">
        <v>46518.0</v>
      </c>
      <c r="B235" s="133"/>
      <c r="C235" s="134"/>
      <c r="D235" s="135"/>
      <c r="E235" s="133"/>
      <c r="F235" s="134"/>
      <c r="G235" s="136"/>
      <c r="H235" s="133"/>
      <c r="I235" s="134"/>
      <c r="J235" s="136"/>
      <c r="K235" s="137"/>
      <c r="L235" s="68"/>
      <c r="M235" s="44"/>
      <c r="N235" s="44"/>
      <c r="O235" s="44"/>
      <c r="P235" s="6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5">
        <v>46519.0</v>
      </c>
      <c r="B236" s="133"/>
      <c r="C236" s="134"/>
      <c r="D236" s="135"/>
      <c r="E236" s="133"/>
      <c r="F236" s="134"/>
      <c r="G236" s="136"/>
      <c r="H236" s="133"/>
      <c r="I236" s="134"/>
      <c r="J236" s="136"/>
      <c r="K236" s="137"/>
      <c r="L236" s="68"/>
      <c r="M236" s="44"/>
      <c r="N236" s="44"/>
      <c r="O236" s="44"/>
      <c r="P236" s="6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5">
        <v>46520.0</v>
      </c>
      <c r="B237" s="133"/>
      <c r="C237" s="138"/>
      <c r="D237" s="139"/>
      <c r="E237" s="133"/>
      <c r="F237" s="138"/>
      <c r="G237" s="136"/>
      <c r="H237" s="133"/>
      <c r="I237" s="138"/>
      <c r="J237" s="136"/>
      <c r="K237" s="137"/>
      <c r="L237" s="68"/>
      <c r="M237" s="44"/>
      <c r="N237" s="44"/>
      <c r="O237" s="44"/>
      <c r="P237" s="6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5">
        <v>46521.0</v>
      </c>
      <c r="B238" s="140"/>
      <c r="C238" s="141"/>
      <c r="D238" s="70"/>
      <c r="E238" s="140"/>
      <c r="F238" s="141"/>
      <c r="G238" s="70"/>
      <c r="H238" s="140"/>
      <c r="I238" s="141"/>
      <c r="J238" s="70"/>
      <c r="K238" s="142"/>
      <c r="L238" s="88"/>
      <c r="M238" s="44"/>
      <c r="N238" s="44"/>
      <c r="O238" s="44"/>
      <c r="P238" s="6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79"/>
      <c r="B239" s="81"/>
      <c r="C239" s="81"/>
      <c r="D239" s="79"/>
      <c r="E239" s="81"/>
      <c r="F239" s="81"/>
      <c r="G239" s="79"/>
      <c r="H239" s="81"/>
      <c r="I239" s="81"/>
      <c r="J239" s="79"/>
      <c r="K239" s="79"/>
      <c r="L239" s="88"/>
      <c r="M239" s="44"/>
      <c r="N239" s="44"/>
      <c r="O239" s="44"/>
      <c r="P239" s="6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4"/>
      <c r="B240" s="86"/>
      <c r="C240" s="86"/>
      <c r="D240" s="87"/>
      <c r="E240" s="86"/>
      <c r="F240" s="86"/>
      <c r="G240" s="87"/>
      <c r="H240" s="86"/>
      <c r="I240" s="86"/>
      <c r="J240" s="87"/>
      <c r="K240" s="87"/>
      <c r="L240" s="93"/>
      <c r="M240" s="94"/>
      <c r="N240" s="94"/>
      <c r="O240" s="92"/>
      <c r="P240" s="95">
        <f>SUMPRODUCT(VALUE(K234:K238))-(SUM(L234:L238))</f>
        <v>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5">
        <v>46524.0</v>
      </c>
      <c r="B241" s="23"/>
      <c r="C241" s="26"/>
      <c r="D241" s="30"/>
      <c r="E241" s="23"/>
      <c r="F241" s="26"/>
      <c r="G241" s="33"/>
      <c r="H241" s="23"/>
      <c r="I241" s="26"/>
      <c r="J241" s="33"/>
      <c r="K241" s="132"/>
      <c r="L241" s="108"/>
      <c r="M241" s="39"/>
      <c r="N241" s="39"/>
      <c r="O241" s="38"/>
      <c r="P241" s="98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5">
        <v>46525.0</v>
      </c>
      <c r="B242" s="133"/>
      <c r="C242" s="134"/>
      <c r="D242" s="135"/>
      <c r="E242" s="133"/>
      <c r="F242" s="134"/>
      <c r="G242" s="136"/>
      <c r="H242" s="133"/>
      <c r="I242" s="134"/>
      <c r="J242" s="136"/>
      <c r="K242" s="137"/>
      <c r="L242" s="68"/>
      <c r="M242" s="44"/>
      <c r="N242" s="44"/>
      <c r="O242" s="44"/>
      <c r="P242" s="6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5">
        <v>46526.0</v>
      </c>
      <c r="B243" s="133"/>
      <c r="C243" s="134"/>
      <c r="D243" s="135"/>
      <c r="E243" s="133"/>
      <c r="F243" s="134"/>
      <c r="G243" s="136"/>
      <c r="H243" s="133"/>
      <c r="I243" s="134"/>
      <c r="J243" s="136"/>
      <c r="K243" s="137"/>
      <c r="L243" s="68"/>
      <c r="M243" s="44"/>
      <c r="N243" s="44"/>
      <c r="O243" s="44"/>
      <c r="P243" s="6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5">
        <v>46527.0</v>
      </c>
      <c r="B244" s="133"/>
      <c r="C244" s="138"/>
      <c r="D244" s="139"/>
      <c r="E244" s="133"/>
      <c r="F244" s="138"/>
      <c r="G244" s="136"/>
      <c r="H244" s="133"/>
      <c r="I244" s="138"/>
      <c r="J244" s="136"/>
      <c r="K244" s="137"/>
      <c r="L244" s="68"/>
      <c r="M244" s="44"/>
      <c r="N244" s="44"/>
      <c r="O244" s="44"/>
      <c r="P244" s="6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5">
        <v>46528.0</v>
      </c>
      <c r="B245" s="140"/>
      <c r="C245" s="141"/>
      <c r="D245" s="70"/>
      <c r="E245" s="140"/>
      <c r="F245" s="141"/>
      <c r="G245" s="70"/>
      <c r="H245" s="140"/>
      <c r="I245" s="141"/>
      <c r="J245" s="70"/>
      <c r="K245" s="142"/>
      <c r="L245" s="88"/>
      <c r="M245" s="44"/>
      <c r="N245" s="44"/>
      <c r="O245" s="44"/>
      <c r="P245" s="6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79"/>
      <c r="B246" s="81"/>
      <c r="C246" s="81"/>
      <c r="D246" s="79"/>
      <c r="E246" s="81"/>
      <c r="F246" s="81"/>
      <c r="G246" s="79"/>
      <c r="H246" s="81"/>
      <c r="I246" s="81"/>
      <c r="J246" s="79"/>
      <c r="K246" s="79"/>
      <c r="L246" s="88"/>
      <c r="M246" s="44"/>
      <c r="N246" s="44"/>
      <c r="O246" s="44"/>
      <c r="P246" s="6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4"/>
      <c r="B247" s="86"/>
      <c r="C247" s="86"/>
      <c r="D247" s="87"/>
      <c r="E247" s="86"/>
      <c r="F247" s="86"/>
      <c r="G247" s="87"/>
      <c r="H247" s="86"/>
      <c r="I247" s="86"/>
      <c r="J247" s="87"/>
      <c r="K247" s="87"/>
      <c r="L247" s="93"/>
      <c r="M247" s="94"/>
      <c r="N247" s="94"/>
      <c r="O247" s="92"/>
      <c r="P247" s="95">
        <f>SUMPRODUCT(VALUE(K241:K245))-(SUM(L241:L245))</f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5">
        <v>46531.0</v>
      </c>
      <c r="B248" s="23"/>
      <c r="C248" s="26"/>
      <c r="D248" s="30"/>
      <c r="E248" s="23"/>
      <c r="F248" s="26"/>
      <c r="G248" s="33"/>
      <c r="H248" s="23"/>
      <c r="I248" s="26"/>
      <c r="J248" s="33"/>
      <c r="K248" s="132"/>
      <c r="L248" s="108"/>
      <c r="M248" s="39"/>
      <c r="N248" s="39"/>
      <c r="O248" s="38"/>
      <c r="P248" s="9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5">
        <v>46532.0</v>
      </c>
      <c r="B249" s="133"/>
      <c r="C249" s="134"/>
      <c r="D249" s="135"/>
      <c r="E249" s="133"/>
      <c r="F249" s="134"/>
      <c r="G249" s="136"/>
      <c r="H249" s="133"/>
      <c r="I249" s="134"/>
      <c r="J249" s="136"/>
      <c r="K249" s="137"/>
      <c r="L249" s="68"/>
      <c r="M249" s="44"/>
      <c r="N249" s="44"/>
      <c r="O249" s="44"/>
      <c r="P249" s="6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5">
        <v>46533.0</v>
      </c>
      <c r="B250" s="133"/>
      <c r="C250" s="134"/>
      <c r="D250" s="135"/>
      <c r="E250" s="133"/>
      <c r="F250" s="134"/>
      <c r="G250" s="136"/>
      <c r="H250" s="133"/>
      <c r="I250" s="134"/>
      <c r="J250" s="136"/>
      <c r="K250" s="137"/>
      <c r="L250" s="68"/>
      <c r="M250" s="44"/>
      <c r="N250" s="44"/>
      <c r="O250" s="44"/>
      <c r="P250" s="6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5">
        <v>46534.0</v>
      </c>
      <c r="B251" s="133"/>
      <c r="C251" s="138"/>
      <c r="D251" s="139"/>
      <c r="E251" s="133"/>
      <c r="F251" s="138"/>
      <c r="G251" s="136"/>
      <c r="H251" s="133"/>
      <c r="I251" s="138"/>
      <c r="J251" s="136"/>
      <c r="K251" s="137"/>
      <c r="L251" s="68"/>
      <c r="M251" s="44"/>
      <c r="N251" s="44"/>
      <c r="O251" s="44"/>
      <c r="P251" s="6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5">
        <v>46535.0</v>
      </c>
      <c r="B252" s="140"/>
      <c r="C252" s="141"/>
      <c r="D252" s="70"/>
      <c r="E252" s="140"/>
      <c r="F252" s="141"/>
      <c r="G252" s="70"/>
      <c r="H252" s="140"/>
      <c r="I252" s="141"/>
      <c r="J252" s="70"/>
      <c r="K252" s="142"/>
      <c r="L252" s="88"/>
      <c r="M252" s="44"/>
      <c r="N252" s="44"/>
      <c r="O252" s="44"/>
      <c r="P252" s="6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79"/>
      <c r="B253" s="81"/>
      <c r="C253" s="81"/>
      <c r="D253" s="79"/>
      <c r="E253" s="81"/>
      <c r="F253" s="81"/>
      <c r="G253" s="79"/>
      <c r="H253" s="81"/>
      <c r="I253" s="81"/>
      <c r="J253" s="79"/>
      <c r="K253" s="79"/>
      <c r="L253" s="88"/>
      <c r="M253" s="44"/>
      <c r="N253" s="44"/>
      <c r="O253" s="44"/>
      <c r="P253" s="6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4"/>
      <c r="B254" s="86"/>
      <c r="C254" s="86"/>
      <c r="D254" s="87"/>
      <c r="E254" s="86"/>
      <c r="F254" s="86"/>
      <c r="G254" s="87"/>
      <c r="H254" s="86"/>
      <c r="I254" s="86"/>
      <c r="J254" s="87"/>
      <c r="K254" s="87"/>
      <c r="L254" s="93"/>
      <c r="M254" s="94"/>
      <c r="N254" s="94"/>
      <c r="O254" s="92"/>
      <c r="P254" s="95">
        <f>SUMPRODUCT(VALUE(K248:K252))-(SUM(L248:L252))</f>
        <v>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5">
        <v>46538.0</v>
      </c>
      <c r="B255" s="23"/>
      <c r="C255" s="26"/>
      <c r="D255" s="30"/>
      <c r="E255" s="23"/>
      <c r="F255" s="26"/>
      <c r="G255" s="33"/>
      <c r="H255" s="23"/>
      <c r="I255" s="26"/>
      <c r="J255" s="33"/>
      <c r="K255" s="132"/>
      <c r="L255" s="108"/>
      <c r="M255" s="39"/>
      <c r="N255" s="39"/>
      <c r="O255" s="38"/>
      <c r="P255" s="9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5">
        <v>46539.0</v>
      </c>
      <c r="B256" s="133"/>
      <c r="C256" s="134"/>
      <c r="D256" s="135"/>
      <c r="E256" s="133"/>
      <c r="F256" s="134"/>
      <c r="G256" s="136"/>
      <c r="H256" s="133"/>
      <c r="I256" s="134"/>
      <c r="J256" s="136"/>
      <c r="K256" s="137"/>
      <c r="L256" s="68"/>
      <c r="M256" s="44"/>
      <c r="N256" s="44"/>
      <c r="O256" s="44"/>
      <c r="P256" s="6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5">
        <v>46540.0</v>
      </c>
      <c r="B257" s="133"/>
      <c r="C257" s="134"/>
      <c r="D257" s="135"/>
      <c r="E257" s="133"/>
      <c r="F257" s="134"/>
      <c r="G257" s="136"/>
      <c r="H257" s="133"/>
      <c r="I257" s="134"/>
      <c r="J257" s="136"/>
      <c r="K257" s="137"/>
      <c r="L257" s="68"/>
      <c r="M257" s="44"/>
      <c r="N257" s="44"/>
      <c r="O257" s="44"/>
      <c r="P257" s="6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5">
        <v>46541.0</v>
      </c>
      <c r="B258" s="133"/>
      <c r="C258" s="138"/>
      <c r="D258" s="139"/>
      <c r="E258" s="133"/>
      <c r="F258" s="138"/>
      <c r="G258" s="136"/>
      <c r="H258" s="133"/>
      <c r="I258" s="138"/>
      <c r="J258" s="136"/>
      <c r="K258" s="137"/>
      <c r="L258" s="68"/>
      <c r="M258" s="44"/>
      <c r="N258" s="44"/>
      <c r="O258" s="44"/>
      <c r="P258" s="6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5">
        <v>46542.0</v>
      </c>
      <c r="B259" s="140"/>
      <c r="C259" s="141"/>
      <c r="D259" s="70"/>
      <c r="E259" s="140"/>
      <c r="F259" s="141"/>
      <c r="G259" s="70"/>
      <c r="H259" s="140"/>
      <c r="I259" s="141"/>
      <c r="J259" s="70"/>
      <c r="K259" s="142"/>
      <c r="L259" s="88"/>
      <c r="M259" s="44"/>
      <c r="N259" s="44"/>
      <c r="O259" s="44"/>
      <c r="P259" s="6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79"/>
      <c r="B260" s="81"/>
      <c r="C260" s="81"/>
      <c r="D260" s="79"/>
      <c r="E260" s="81"/>
      <c r="F260" s="81"/>
      <c r="G260" s="79"/>
      <c r="H260" s="81"/>
      <c r="I260" s="81"/>
      <c r="J260" s="79"/>
      <c r="K260" s="79"/>
      <c r="L260" s="88"/>
      <c r="M260" s="44"/>
      <c r="N260" s="44"/>
      <c r="O260" s="44"/>
      <c r="P260" s="6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4"/>
      <c r="B261" s="86"/>
      <c r="C261" s="86"/>
      <c r="D261" s="87"/>
      <c r="E261" s="86"/>
      <c r="F261" s="86"/>
      <c r="G261" s="87"/>
      <c r="H261" s="86"/>
      <c r="I261" s="86"/>
      <c r="J261" s="87"/>
      <c r="K261" s="87"/>
      <c r="L261" s="93"/>
      <c r="M261" s="94"/>
      <c r="N261" s="94"/>
      <c r="O261" s="92"/>
      <c r="P261" s="95">
        <f>SUMPRODUCT(VALUE(K255:K259))-(SUM(L255:L259))</f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5">
        <v>46545.0</v>
      </c>
      <c r="B262" s="23"/>
      <c r="C262" s="26"/>
      <c r="D262" s="30"/>
      <c r="E262" s="23"/>
      <c r="F262" s="26"/>
      <c r="G262" s="33"/>
      <c r="H262" s="23"/>
      <c r="I262" s="26"/>
      <c r="J262" s="33"/>
      <c r="K262" s="132"/>
      <c r="L262" s="108"/>
      <c r="M262" s="39"/>
      <c r="N262" s="39"/>
      <c r="O262" s="38"/>
      <c r="P262" s="98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5">
        <v>46546.0</v>
      </c>
      <c r="B263" s="133"/>
      <c r="C263" s="134"/>
      <c r="D263" s="135"/>
      <c r="E263" s="133"/>
      <c r="F263" s="134"/>
      <c r="G263" s="136"/>
      <c r="H263" s="133"/>
      <c r="I263" s="134"/>
      <c r="J263" s="136"/>
      <c r="K263" s="137"/>
      <c r="L263" s="68"/>
      <c r="M263" s="44"/>
      <c r="N263" s="44"/>
      <c r="O263" s="44"/>
      <c r="P263" s="6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5">
        <v>46547.0</v>
      </c>
      <c r="B264" s="133"/>
      <c r="C264" s="134"/>
      <c r="D264" s="135"/>
      <c r="E264" s="133"/>
      <c r="F264" s="134"/>
      <c r="G264" s="136"/>
      <c r="H264" s="133"/>
      <c r="I264" s="134"/>
      <c r="J264" s="136"/>
      <c r="K264" s="137"/>
      <c r="L264" s="68"/>
      <c r="M264" s="44"/>
      <c r="N264" s="44"/>
      <c r="O264" s="44"/>
      <c r="P264" s="6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5">
        <v>46548.0</v>
      </c>
      <c r="B265" s="133"/>
      <c r="C265" s="138"/>
      <c r="D265" s="139"/>
      <c r="E265" s="133"/>
      <c r="F265" s="138"/>
      <c r="G265" s="136"/>
      <c r="H265" s="133"/>
      <c r="I265" s="138"/>
      <c r="J265" s="136"/>
      <c r="K265" s="137"/>
      <c r="L265" s="68"/>
      <c r="M265" s="44"/>
      <c r="N265" s="44"/>
      <c r="O265" s="44"/>
      <c r="P265" s="6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5">
        <v>46549.0</v>
      </c>
      <c r="B266" s="140"/>
      <c r="C266" s="141"/>
      <c r="D266" s="70"/>
      <c r="E266" s="140"/>
      <c r="F266" s="141"/>
      <c r="G266" s="70"/>
      <c r="H266" s="140"/>
      <c r="I266" s="141"/>
      <c r="J266" s="70"/>
      <c r="K266" s="142"/>
      <c r="L266" s="88"/>
      <c r="M266" s="44"/>
      <c r="N266" s="44"/>
      <c r="O266" s="44"/>
      <c r="P266" s="6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79"/>
      <c r="B267" s="81"/>
      <c r="C267" s="81"/>
      <c r="D267" s="79"/>
      <c r="E267" s="81"/>
      <c r="F267" s="81"/>
      <c r="G267" s="79"/>
      <c r="H267" s="81"/>
      <c r="I267" s="81"/>
      <c r="J267" s="79"/>
      <c r="K267" s="79"/>
      <c r="L267" s="88"/>
      <c r="M267" s="44"/>
      <c r="N267" s="44"/>
      <c r="O267" s="44"/>
      <c r="P267" s="6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4"/>
      <c r="B268" s="86"/>
      <c r="C268" s="86"/>
      <c r="D268" s="87"/>
      <c r="E268" s="86"/>
      <c r="F268" s="86"/>
      <c r="G268" s="87"/>
      <c r="H268" s="86"/>
      <c r="I268" s="86"/>
      <c r="J268" s="87"/>
      <c r="K268" s="87"/>
      <c r="L268" s="93"/>
      <c r="M268" s="94"/>
      <c r="N268" s="94"/>
      <c r="O268" s="92"/>
      <c r="P268" s="95">
        <f>SUMPRODUCT(VALUE(K262:K266))-(SUM(L262:L266))</f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5">
        <v>46552.0</v>
      </c>
      <c r="B269" s="23"/>
      <c r="C269" s="26"/>
      <c r="D269" s="30"/>
      <c r="E269" s="23"/>
      <c r="F269" s="26"/>
      <c r="G269" s="33"/>
      <c r="H269" s="23"/>
      <c r="I269" s="26"/>
      <c r="J269" s="33"/>
      <c r="K269" s="132"/>
      <c r="L269" s="108"/>
      <c r="M269" s="39"/>
      <c r="N269" s="39"/>
      <c r="O269" s="38"/>
      <c r="P269" s="9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5">
        <v>46553.0</v>
      </c>
      <c r="B270" s="133"/>
      <c r="C270" s="134"/>
      <c r="D270" s="135"/>
      <c r="E270" s="133"/>
      <c r="F270" s="134"/>
      <c r="G270" s="136"/>
      <c r="H270" s="133"/>
      <c r="I270" s="134"/>
      <c r="J270" s="136"/>
      <c r="K270" s="137"/>
      <c r="L270" s="68"/>
      <c r="M270" s="44"/>
      <c r="N270" s="44"/>
      <c r="O270" s="44"/>
      <c r="P270" s="6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5">
        <v>46554.0</v>
      </c>
      <c r="B271" s="133"/>
      <c r="C271" s="134"/>
      <c r="D271" s="135"/>
      <c r="E271" s="133"/>
      <c r="F271" s="134"/>
      <c r="G271" s="136"/>
      <c r="H271" s="133"/>
      <c r="I271" s="134"/>
      <c r="J271" s="136"/>
      <c r="K271" s="137"/>
      <c r="L271" s="68"/>
      <c r="M271" s="44"/>
      <c r="N271" s="44"/>
      <c r="O271" s="44"/>
      <c r="P271" s="6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5">
        <v>46555.0</v>
      </c>
      <c r="B272" s="133"/>
      <c r="C272" s="138"/>
      <c r="D272" s="139"/>
      <c r="E272" s="133"/>
      <c r="F272" s="138"/>
      <c r="G272" s="136"/>
      <c r="H272" s="133"/>
      <c r="I272" s="138"/>
      <c r="J272" s="136"/>
      <c r="K272" s="137"/>
      <c r="L272" s="68"/>
      <c r="M272" s="44"/>
      <c r="N272" s="44"/>
      <c r="O272" s="44"/>
      <c r="P272" s="6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5">
        <v>46556.0</v>
      </c>
      <c r="B273" s="140"/>
      <c r="C273" s="141"/>
      <c r="D273" s="70"/>
      <c r="E273" s="140"/>
      <c r="F273" s="141"/>
      <c r="G273" s="70"/>
      <c r="H273" s="140"/>
      <c r="I273" s="141"/>
      <c r="J273" s="70"/>
      <c r="K273" s="142"/>
      <c r="L273" s="88"/>
      <c r="M273" s="44"/>
      <c r="N273" s="44"/>
      <c r="O273" s="44"/>
      <c r="P273" s="6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79"/>
      <c r="B274" s="81"/>
      <c r="C274" s="81"/>
      <c r="D274" s="79"/>
      <c r="E274" s="81"/>
      <c r="F274" s="81"/>
      <c r="G274" s="79"/>
      <c r="H274" s="81"/>
      <c r="I274" s="81"/>
      <c r="J274" s="79"/>
      <c r="K274" s="79"/>
      <c r="L274" s="88"/>
      <c r="M274" s="44"/>
      <c r="N274" s="44"/>
      <c r="O274" s="44"/>
      <c r="P274" s="6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4"/>
      <c r="B275" s="86"/>
      <c r="C275" s="86"/>
      <c r="D275" s="87"/>
      <c r="E275" s="86"/>
      <c r="F275" s="86"/>
      <c r="G275" s="87"/>
      <c r="H275" s="86"/>
      <c r="I275" s="86"/>
      <c r="J275" s="87"/>
      <c r="K275" s="87"/>
      <c r="L275" s="93"/>
      <c r="M275" s="94"/>
      <c r="N275" s="94"/>
      <c r="O275" s="92"/>
      <c r="P275" s="95">
        <f>SUMPRODUCT(VALUE(K269:K273))-(SUM(L269:L273))</f>
        <v>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5">
        <v>46559.0</v>
      </c>
      <c r="B276" s="23"/>
      <c r="C276" s="26"/>
      <c r="D276" s="30"/>
      <c r="E276" s="23"/>
      <c r="F276" s="26"/>
      <c r="G276" s="33"/>
      <c r="H276" s="23"/>
      <c r="I276" s="26"/>
      <c r="J276" s="33"/>
      <c r="K276" s="132"/>
      <c r="L276" s="108"/>
      <c r="M276" s="39"/>
      <c r="N276" s="39"/>
      <c r="O276" s="38"/>
      <c r="P276" s="9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5">
        <v>46560.0</v>
      </c>
      <c r="B277" s="133"/>
      <c r="C277" s="134"/>
      <c r="D277" s="135"/>
      <c r="E277" s="133"/>
      <c r="F277" s="134"/>
      <c r="G277" s="136"/>
      <c r="H277" s="133"/>
      <c r="I277" s="134"/>
      <c r="J277" s="136"/>
      <c r="K277" s="137"/>
      <c r="L277" s="68"/>
      <c r="M277" s="44"/>
      <c r="N277" s="44"/>
      <c r="O277" s="44"/>
      <c r="P277" s="6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5">
        <v>46561.0</v>
      </c>
      <c r="B278" s="133"/>
      <c r="C278" s="134"/>
      <c r="D278" s="135"/>
      <c r="E278" s="133"/>
      <c r="F278" s="134"/>
      <c r="G278" s="136"/>
      <c r="H278" s="133"/>
      <c r="I278" s="134"/>
      <c r="J278" s="136"/>
      <c r="K278" s="137"/>
      <c r="L278" s="68"/>
      <c r="M278" s="44"/>
      <c r="N278" s="44"/>
      <c r="O278" s="44"/>
      <c r="P278" s="6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5">
        <v>46562.0</v>
      </c>
      <c r="B279" s="133"/>
      <c r="C279" s="138"/>
      <c r="D279" s="139"/>
      <c r="E279" s="133"/>
      <c r="F279" s="138"/>
      <c r="G279" s="136"/>
      <c r="H279" s="133"/>
      <c r="I279" s="138"/>
      <c r="J279" s="136"/>
      <c r="K279" s="137"/>
      <c r="L279" s="68"/>
      <c r="M279" s="44"/>
      <c r="N279" s="44"/>
      <c r="O279" s="44"/>
      <c r="P279" s="6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5">
        <v>46563.0</v>
      </c>
      <c r="B280" s="140"/>
      <c r="C280" s="141"/>
      <c r="D280" s="70"/>
      <c r="E280" s="140"/>
      <c r="F280" s="141"/>
      <c r="G280" s="70"/>
      <c r="H280" s="140"/>
      <c r="I280" s="141"/>
      <c r="J280" s="70"/>
      <c r="K280" s="142"/>
      <c r="L280" s="88"/>
      <c r="M280" s="44"/>
      <c r="N280" s="44"/>
      <c r="O280" s="44"/>
      <c r="P280" s="6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79"/>
      <c r="B281" s="81"/>
      <c r="C281" s="81"/>
      <c r="D281" s="79"/>
      <c r="E281" s="81"/>
      <c r="F281" s="81"/>
      <c r="G281" s="79"/>
      <c r="H281" s="81"/>
      <c r="I281" s="81"/>
      <c r="J281" s="79"/>
      <c r="K281" s="79"/>
      <c r="L281" s="88"/>
      <c r="M281" s="44"/>
      <c r="N281" s="44"/>
      <c r="O281" s="44"/>
      <c r="P281" s="6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4"/>
      <c r="B282" s="86"/>
      <c r="C282" s="86"/>
      <c r="D282" s="87"/>
      <c r="E282" s="86"/>
      <c r="F282" s="86"/>
      <c r="G282" s="87"/>
      <c r="H282" s="86"/>
      <c r="I282" s="86"/>
      <c r="J282" s="87"/>
      <c r="K282" s="87"/>
      <c r="L282" s="93"/>
      <c r="M282" s="94"/>
      <c r="N282" s="94"/>
      <c r="O282" s="92"/>
      <c r="P282" s="95">
        <f>SUMPRODUCT(VALUE(K276:K280))-(SUM(L276:L280))</f>
        <v>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5">
        <v>46566.0</v>
      </c>
      <c r="B283" s="23"/>
      <c r="C283" s="26"/>
      <c r="D283" s="30"/>
      <c r="E283" s="23"/>
      <c r="F283" s="26"/>
      <c r="G283" s="33"/>
      <c r="H283" s="23"/>
      <c r="I283" s="26"/>
      <c r="J283" s="33"/>
      <c r="K283" s="132"/>
      <c r="L283" s="108"/>
      <c r="M283" s="39"/>
      <c r="N283" s="39"/>
      <c r="O283" s="38"/>
      <c r="P283" s="9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5">
        <v>46567.0</v>
      </c>
      <c r="B284" s="133"/>
      <c r="C284" s="134"/>
      <c r="D284" s="135"/>
      <c r="E284" s="133"/>
      <c r="F284" s="134"/>
      <c r="G284" s="136"/>
      <c r="H284" s="133"/>
      <c r="I284" s="134"/>
      <c r="J284" s="136"/>
      <c r="K284" s="137"/>
      <c r="L284" s="68"/>
      <c r="M284" s="44"/>
      <c r="N284" s="44"/>
      <c r="O284" s="44"/>
      <c r="P284" s="6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5">
        <v>46568.0</v>
      </c>
      <c r="B285" s="133"/>
      <c r="C285" s="134"/>
      <c r="D285" s="135"/>
      <c r="E285" s="133"/>
      <c r="F285" s="134"/>
      <c r="G285" s="136"/>
      <c r="H285" s="133"/>
      <c r="I285" s="134"/>
      <c r="J285" s="136"/>
      <c r="K285" s="137"/>
      <c r="L285" s="68"/>
      <c r="M285" s="44"/>
      <c r="N285" s="44"/>
      <c r="O285" s="44"/>
      <c r="P285" s="6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5">
        <v>46569.0</v>
      </c>
      <c r="B286" s="133"/>
      <c r="C286" s="138"/>
      <c r="D286" s="139"/>
      <c r="E286" s="133"/>
      <c r="F286" s="138"/>
      <c r="G286" s="136"/>
      <c r="H286" s="133"/>
      <c r="I286" s="138"/>
      <c r="J286" s="136"/>
      <c r="K286" s="137"/>
      <c r="L286" s="68"/>
      <c r="M286" s="44"/>
      <c r="N286" s="44"/>
      <c r="O286" s="44"/>
      <c r="P286" s="6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5">
        <v>46570.0</v>
      </c>
      <c r="B287" s="140"/>
      <c r="C287" s="141"/>
      <c r="D287" s="70"/>
      <c r="E287" s="140"/>
      <c r="F287" s="141"/>
      <c r="G287" s="70"/>
      <c r="H287" s="140"/>
      <c r="I287" s="141"/>
      <c r="J287" s="70"/>
      <c r="K287" s="142"/>
      <c r="L287" s="88"/>
      <c r="M287" s="44"/>
      <c r="N287" s="44"/>
      <c r="O287" s="44"/>
      <c r="P287" s="6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79"/>
      <c r="B288" s="81"/>
      <c r="C288" s="81"/>
      <c r="D288" s="79"/>
      <c r="E288" s="81"/>
      <c r="F288" s="81"/>
      <c r="G288" s="79"/>
      <c r="H288" s="81"/>
      <c r="I288" s="81"/>
      <c r="J288" s="79"/>
      <c r="K288" s="79"/>
      <c r="L288" s="88"/>
      <c r="M288" s="44"/>
      <c r="N288" s="44"/>
      <c r="O288" s="44"/>
      <c r="P288" s="6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4"/>
      <c r="B289" s="86"/>
      <c r="C289" s="86"/>
      <c r="D289" s="87"/>
      <c r="E289" s="86"/>
      <c r="F289" s="86"/>
      <c r="G289" s="87"/>
      <c r="H289" s="86"/>
      <c r="I289" s="86"/>
      <c r="J289" s="87"/>
      <c r="K289" s="87"/>
      <c r="L289" s="93"/>
      <c r="M289" s="94"/>
      <c r="N289" s="94"/>
      <c r="O289" s="92"/>
      <c r="P289" s="95">
        <f>SUMPRODUCT(VALUE(K283:K287))-(SUM(L283:L287))</f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5">
        <v>46573.0</v>
      </c>
      <c r="B290" s="23"/>
      <c r="C290" s="26"/>
      <c r="D290" s="30"/>
      <c r="E290" s="23"/>
      <c r="F290" s="26"/>
      <c r="G290" s="33"/>
      <c r="H290" s="23"/>
      <c r="I290" s="26"/>
      <c r="J290" s="33"/>
      <c r="K290" s="132"/>
      <c r="L290" s="108"/>
      <c r="M290" s="39"/>
      <c r="N290" s="39"/>
      <c r="O290" s="38"/>
      <c r="P290" s="9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5">
        <v>46574.0</v>
      </c>
      <c r="B291" s="133"/>
      <c r="C291" s="134"/>
      <c r="D291" s="135"/>
      <c r="E291" s="133"/>
      <c r="F291" s="134"/>
      <c r="G291" s="136"/>
      <c r="H291" s="133"/>
      <c r="I291" s="134"/>
      <c r="J291" s="136"/>
      <c r="K291" s="137"/>
      <c r="L291" s="68"/>
      <c r="M291" s="44"/>
      <c r="N291" s="44"/>
      <c r="O291" s="44"/>
      <c r="P291" s="6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5">
        <v>46575.0</v>
      </c>
      <c r="B292" s="133"/>
      <c r="C292" s="134"/>
      <c r="D292" s="135"/>
      <c r="E292" s="133"/>
      <c r="F292" s="134"/>
      <c r="G292" s="136"/>
      <c r="H292" s="133"/>
      <c r="I292" s="134"/>
      <c r="J292" s="136"/>
      <c r="K292" s="137"/>
      <c r="L292" s="68"/>
      <c r="M292" s="44"/>
      <c r="N292" s="44"/>
      <c r="O292" s="44"/>
      <c r="P292" s="6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5">
        <v>46576.0</v>
      </c>
      <c r="B293" s="133"/>
      <c r="C293" s="138"/>
      <c r="D293" s="139"/>
      <c r="E293" s="133"/>
      <c r="F293" s="138"/>
      <c r="G293" s="136"/>
      <c r="H293" s="133"/>
      <c r="I293" s="138"/>
      <c r="J293" s="136"/>
      <c r="K293" s="137"/>
      <c r="L293" s="68"/>
      <c r="M293" s="44"/>
      <c r="N293" s="44"/>
      <c r="O293" s="44"/>
      <c r="P293" s="6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5">
        <v>46577.0</v>
      </c>
      <c r="B294" s="140"/>
      <c r="C294" s="141"/>
      <c r="D294" s="70"/>
      <c r="E294" s="140"/>
      <c r="F294" s="141"/>
      <c r="G294" s="70"/>
      <c r="H294" s="140"/>
      <c r="I294" s="141"/>
      <c r="J294" s="70"/>
      <c r="K294" s="142"/>
      <c r="L294" s="88"/>
      <c r="M294" s="44"/>
      <c r="N294" s="44"/>
      <c r="O294" s="44"/>
      <c r="P294" s="6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79"/>
      <c r="B295" s="81"/>
      <c r="C295" s="81"/>
      <c r="D295" s="79"/>
      <c r="E295" s="81"/>
      <c r="F295" s="81"/>
      <c r="G295" s="79"/>
      <c r="H295" s="81"/>
      <c r="I295" s="81"/>
      <c r="J295" s="79"/>
      <c r="K295" s="79"/>
      <c r="L295" s="88"/>
      <c r="M295" s="44"/>
      <c r="N295" s="44"/>
      <c r="O295" s="44"/>
      <c r="P295" s="6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4"/>
      <c r="B296" s="86"/>
      <c r="C296" s="86"/>
      <c r="D296" s="87"/>
      <c r="E296" s="86"/>
      <c r="F296" s="86"/>
      <c r="G296" s="87"/>
      <c r="H296" s="86"/>
      <c r="I296" s="86"/>
      <c r="J296" s="87"/>
      <c r="K296" s="87"/>
      <c r="L296" s="93"/>
      <c r="M296" s="94"/>
      <c r="N296" s="94"/>
      <c r="O296" s="92"/>
      <c r="P296" s="95">
        <f>SUMPRODUCT(VALUE(K290:K294))-(SUM(L290:L294))</f>
        <v>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5">
        <v>46580.0</v>
      </c>
      <c r="B297" s="23"/>
      <c r="C297" s="26"/>
      <c r="D297" s="30"/>
      <c r="E297" s="23"/>
      <c r="F297" s="26"/>
      <c r="G297" s="33"/>
      <c r="H297" s="23"/>
      <c r="I297" s="26"/>
      <c r="J297" s="33"/>
      <c r="K297" s="132"/>
      <c r="L297" s="108"/>
      <c r="M297" s="39"/>
      <c r="N297" s="39"/>
      <c r="O297" s="38"/>
      <c r="P297" s="9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5">
        <v>46581.0</v>
      </c>
      <c r="B298" s="133"/>
      <c r="C298" s="134"/>
      <c r="D298" s="135"/>
      <c r="E298" s="133"/>
      <c r="F298" s="134"/>
      <c r="G298" s="136"/>
      <c r="H298" s="133"/>
      <c r="I298" s="134"/>
      <c r="J298" s="136"/>
      <c r="K298" s="137"/>
      <c r="L298" s="68"/>
      <c r="M298" s="44"/>
      <c r="N298" s="44"/>
      <c r="O298" s="44"/>
      <c r="P298" s="6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5">
        <v>46582.0</v>
      </c>
      <c r="B299" s="133"/>
      <c r="C299" s="134"/>
      <c r="D299" s="135"/>
      <c r="E299" s="133"/>
      <c r="F299" s="134"/>
      <c r="G299" s="136"/>
      <c r="H299" s="133"/>
      <c r="I299" s="134"/>
      <c r="J299" s="136"/>
      <c r="K299" s="137"/>
      <c r="L299" s="68"/>
      <c r="M299" s="44"/>
      <c r="N299" s="44"/>
      <c r="O299" s="44"/>
      <c r="P299" s="6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5">
        <v>46583.0</v>
      </c>
      <c r="B300" s="133"/>
      <c r="C300" s="138"/>
      <c r="D300" s="139"/>
      <c r="E300" s="133"/>
      <c r="F300" s="138"/>
      <c r="G300" s="136"/>
      <c r="H300" s="133"/>
      <c r="I300" s="138"/>
      <c r="J300" s="136"/>
      <c r="K300" s="137"/>
      <c r="L300" s="68"/>
      <c r="M300" s="44"/>
      <c r="N300" s="44"/>
      <c r="O300" s="44"/>
      <c r="P300" s="6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5">
        <v>46584.0</v>
      </c>
      <c r="B301" s="140"/>
      <c r="C301" s="141"/>
      <c r="D301" s="70"/>
      <c r="E301" s="140"/>
      <c r="F301" s="141"/>
      <c r="G301" s="70"/>
      <c r="H301" s="140"/>
      <c r="I301" s="141"/>
      <c r="J301" s="70"/>
      <c r="K301" s="142"/>
      <c r="L301" s="88"/>
      <c r="M301" s="44"/>
      <c r="N301" s="44"/>
      <c r="O301" s="44"/>
      <c r="P301" s="6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79"/>
      <c r="B302" s="81"/>
      <c r="C302" s="81"/>
      <c r="D302" s="79"/>
      <c r="E302" s="81"/>
      <c r="F302" s="81"/>
      <c r="G302" s="79"/>
      <c r="H302" s="81"/>
      <c r="I302" s="81"/>
      <c r="J302" s="79"/>
      <c r="K302" s="79"/>
      <c r="L302" s="88"/>
      <c r="M302" s="44"/>
      <c r="N302" s="44"/>
      <c r="O302" s="44"/>
      <c r="P302" s="6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4"/>
      <c r="B303" s="86"/>
      <c r="C303" s="86"/>
      <c r="D303" s="87"/>
      <c r="E303" s="86"/>
      <c r="F303" s="86"/>
      <c r="G303" s="87"/>
      <c r="H303" s="86"/>
      <c r="I303" s="86"/>
      <c r="J303" s="87"/>
      <c r="K303" s="87"/>
      <c r="L303" s="93"/>
      <c r="M303" s="94"/>
      <c r="N303" s="94"/>
      <c r="O303" s="92"/>
      <c r="P303" s="95">
        <f>SUMPRODUCT(VALUE(K297:K301))-(SUM(L297:L301))</f>
        <v>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2026-09-22T23:19:17Z</dcterms:created>
  <dc:creator>openpyxl</dc:creator>
</cp:coreProperties>
</file>